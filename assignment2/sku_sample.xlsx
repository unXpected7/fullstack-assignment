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space\vinoseek\docs\interview\"/>
    </mc:Choice>
  </mc:AlternateContent>
  <xr:revisionPtr revIDLastSave="0" documentId="13_ncr:1_{822C2385-059B-4629-842C-2E969F03FA3D}" xr6:coauthVersionLast="47" xr6:coauthVersionMax="47" xr10:uidLastSave="{00000000-0000-0000-0000-000000000000}"/>
  <bookViews>
    <workbookView xWindow="-120" yWindow="-120" windowWidth="38640" windowHeight="21120" xr2:uid="{00000000-000D-0000-FFFF-FFFF00000000}"/>
  </bookViews>
  <sheets>
    <sheet name="Sheet1" sheetId="1" r:id="rId1"/>
    <sheet name="工作表1" sheetId="2" r:id="rId2"/>
    <sheet name="工作表2" sheetId="3" r:id="rId3"/>
  </sheets>
  <definedNames>
    <definedName name="_xlnm._FilterDatabase" localSheetId="0" hidden="1">Sheet1!$A$1:$AB$13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H1" i="3"/>
  <c r="G1" i="3"/>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2" i="2"/>
  <c r="I2" i="2"/>
  <c r="I1230" i="2"/>
  <c r="I1231"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D711" i="2"/>
  <c r="J711" i="2" s="1"/>
  <c r="D712" i="2"/>
  <c r="D713" i="2"/>
  <c r="D714" i="2"/>
  <c r="D715" i="2"/>
  <c r="D716" i="2"/>
  <c r="D717" i="2"/>
  <c r="D718" i="2"/>
  <c r="D719" i="2"/>
  <c r="J719" i="2" s="1"/>
  <c r="D720" i="2"/>
  <c r="D721" i="2"/>
  <c r="D722" i="2"/>
  <c r="D723" i="2"/>
  <c r="D724" i="2"/>
  <c r="D725" i="2"/>
  <c r="D726" i="2"/>
  <c r="D727" i="2"/>
  <c r="J727" i="2" s="1"/>
  <c r="D728" i="2"/>
  <c r="D729" i="2"/>
  <c r="D730" i="2"/>
  <c r="D731" i="2"/>
  <c r="D732" i="2"/>
  <c r="D733" i="2"/>
  <c r="D734" i="2"/>
  <c r="D735" i="2"/>
  <c r="J735" i="2" s="1"/>
  <c r="D736" i="2"/>
  <c r="D737" i="2"/>
  <c r="D738" i="2"/>
  <c r="D739" i="2"/>
  <c r="D740" i="2"/>
  <c r="D741" i="2"/>
  <c r="D742" i="2"/>
  <c r="D743" i="2"/>
  <c r="J743" i="2" s="1"/>
  <c r="D744" i="2"/>
  <c r="D745" i="2"/>
  <c r="D746" i="2"/>
  <c r="D747" i="2"/>
  <c r="D748" i="2"/>
  <c r="D749" i="2"/>
  <c r="D750" i="2"/>
  <c r="D751" i="2"/>
  <c r="D752" i="2"/>
  <c r="D753" i="2"/>
  <c r="D754" i="2"/>
  <c r="D755" i="2"/>
  <c r="D756" i="2"/>
  <c r="D757" i="2"/>
  <c r="D758" i="2"/>
  <c r="D759" i="2"/>
  <c r="J759" i="2" s="1"/>
  <c r="D760" i="2"/>
  <c r="D761" i="2"/>
  <c r="D762" i="2"/>
  <c r="D763" i="2"/>
  <c r="D764" i="2"/>
  <c r="D765" i="2"/>
  <c r="D766" i="2"/>
  <c r="D767" i="2"/>
  <c r="D768" i="2"/>
  <c r="D769" i="2"/>
  <c r="D770" i="2"/>
  <c r="D771" i="2"/>
  <c r="D772" i="2"/>
  <c r="D773" i="2"/>
  <c r="D774" i="2"/>
  <c r="D775" i="2"/>
  <c r="J775" i="2" s="1"/>
  <c r="D776" i="2"/>
  <c r="D777" i="2"/>
  <c r="D778" i="2"/>
  <c r="D779" i="2"/>
  <c r="D780" i="2"/>
  <c r="D781" i="2"/>
  <c r="D782" i="2"/>
  <c r="D783" i="2"/>
  <c r="D784" i="2"/>
  <c r="D785" i="2"/>
  <c r="D786" i="2"/>
  <c r="D787" i="2"/>
  <c r="D788" i="2"/>
  <c r="D789" i="2"/>
  <c r="D790" i="2"/>
  <c r="D791" i="2"/>
  <c r="J791" i="2" s="1"/>
  <c r="D792" i="2"/>
  <c r="D793" i="2"/>
  <c r="D794" i="2"/>
  <c r="D795" i="2"/>
  <c r="D796" i="2"/>
  <c r="D797" i="2"/>
  <c r="D798" i="2"/>
  <c r="D799" i="2"/>
  <c r="D800" i="2"/>
  <c r="D801" i="2"/>
  <c r="D802" i="2"/>
  <c r="D803" i="2"/>
  <c r="D804" i="2"/>
  <c r="D805" i="2"/>
  <c r="D806" i="2"/>
  <c r="D807" i="2"/>
  <c r="J807" i="2" s="1"/>
  <c r="D808" i="2"/>
  <c r="D809" i="2"/>
  <c r="D810" i="2"/>
  <c r="D811" i="2"/>
  <c r="D812" i="2"/>
  <c r="D813" i="2"/>
  <c r="D814" i="2"/>
  <c r="D815" i="2"/>
  <c r="J815" i="2" s="1"/>
  <c r="D816" i="2"/>
  <c r="D817" i="2"/>
  <c r="D818" i="2"/>
  <c r="D819" i="2"/>
  <c r="D820" i="2"/>
  <c r="D821" i="2"/>
  <c r="D822" i="2"/>
  <c r="D823" i="2"/>
  <c r="D824" i="2"/>
  <c r="D825" i="2"/>
  <c r="D826" i="2"/>
  <c r="D827" i="2"/>
  <c r="D828" i="2"/>
  <c r="D829" i="2"/>
  <c r="D830" i="2"/>
  <c r="D831" i="2"/>
  <c r="J831" i="2" s="1"/>
  <c r="D832" i="2"/>
  <c r="D833" i="2"/>
  <c r="D834" i="2"/>
  <c r="D835" i="2"/>
  <c r="D836" i="2"/>
  <c r="D837" i="2"/>
  <c r="D838" i="2"/>
  <c r="D839" i="2"/>
  <c r="D840" i="2"/>
  <c r="D841" i="2"/>
  <c r="D842" i="2"/>
  <c r="D843" i="2"/>
  <c r="D844" i="2"/>
  <c r="D845" i="2"/>
  <c r="D846" i="2"/>
  <c r="D847" i="2"/>
  <c r="J847" i="2" s="1"/>
  <c r="D848" i="2"/>
  <c r="D849" i="2"/>
  <c r="D850" i="2"/>
  <c r="D851" i="2"/>
  <c r="D852" i="2"/>
  <c r="D853" i="2"/>
  <c r="D854" i="2"/>
  <c r="D855" i="2"/>
  <c r="D856" i="2"/>
  <c r="D857" i="2"/>
  <c r="D858" i="2"/>
  <c r="D859" i="2"/>
  <c r="D860" i="2"/>
  <c r="D861" i="2"/>
  <c r="D862" i="2"/>
  <c r="D863" i="2"/>
  <c r="J863" i="2" s="1"/>
  <c r="D864" i="2"/>
  <c r="D865" i="2"/>
  <c r="D866" i="2"/>
  <c r="D867" i="2"/>
  <c r="D868" i="2"/>
  <c r="D869" i="2"/>
  <c r="D870" i="2"/>
  <c r="D871" i="2"/>
  <c r="D872" i="2"/>
  <c r="D873" i="2"/>
  <c r="D874" i="2"/>
  <c r="D875" i="2"/>
  <c r="D876" i="2"/>
  <c r="D877" i="2"/>
  <c r="D878" i="2"/>
  <c r="D879" i="2"/>
  <c r="J879" i="2" s="1"/>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J967" i="2" s="1"/>
  <c r="D968" i="2"/>
  <c r="D969" i="2"/>
  <c r="D970" i="2"/>
  <c r="D971" i="2"/>
  <c r="D972" i="2"/>
  <c r="D973" i="2"/>
  <c r="D974" i="2"/>
  <c r="D975" i="2"/>
  <c r="J975" i="2" s="1"/>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J1047" i="2" s="1"/>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J1071" i="2" s="1"/>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J1095" i="2" s="1"/>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J1215" i="2" s="1"/>
  <c r="D1216" i="2"/>
  <c r="D1217" i="2"/>
  <c r="D1218" i="2"/>
  <c r="D1219" i="2"/>
  <c r="D1220" i="2"/>
  <c r="D1221" i="2"/>
  <c r="D1222" i="2"/>
  <c r="D1223" i="2"/>
  <c r="D1224" i="2"/>
  <c r="D1225" i="2"/>
  <c r="D1226" i="2"/>
  <c r="D1227" i="2"/>
  <c r="D1228" i="2"/>
  <c r="D1229" i="2"/>
  <c r="D1230" i="2"/>
  <c r="J1230" i="2" s="1"/>
  <c r="D1231" i="2"/>
  <c r="D710" i="2"/>
  <c r="I711" i="2"/>
  <c r="I712" i="2"/>
  <c r="I713" i="2"/>
  <c r="I714" i="2"/>
  <c r="I715" i="2"/>
  <c r="I716" i="2"/>
  <c r="J716" i="2" s="1"/>
  <c r="I717" i="2"/>
  <c r="J717" i="2" s="1"/>
  <c r="I718" i="2"/>
  <c r="I719" i="2"/>
  <c r="I720" i="2"/>
  <c r="I721" i="2"/>
  <c r="I722" i="2"/>
  <c r="I723" i="2"/>
  <c r="I724" i="2"/>
  <c r="J724" i="2" s="1"/>
  <c r="I725" i="2"/>
  <c r="J725" i="2" s="1"/>
  <c r="I726" i="2"/>
  <c r="I727" i="2"/>
  <c r="I728" i="2"/>
  <c r="I729" i="2"/>
  <c r="I730" i="2"/>
  <c r="I731" i="2"/>
  <c r="I732" i="2"/>
  <c r="J732" i="2" s="1"/>
  <c r="I733" i="2"/>
  <c r="J733" i="2" s="1"/>
  <c r="I734" i="2"/>
  <c r="I735" i="2"/>
  <c r="I736" i="2"/>
  <c r="I737" i="2"/>
  <c r="I738" i="2"/>
  <c r="I739" i="2"/>
  <c r="I740" i="2"/>
  <c r="J740" i="2" s="1"/>
  <c r="I741" i="2"/>
  <c r="J741" i="2" s="1"/>
  <c r="I742" i="2"/>
  <c r="I743" i="2"/>
  <c r="I744" i="2"/>
  <c r="I745" i="2"/>
  <c r="I746" i="2"/>
  <c r="I747" i="2"/>
  <c r="I748" i="2"/>
  <c r="I749" i="2"/>
  <c r="J749" i="2" s="1"/>
  <c r="I750" i="2"/>
  <c r="I751" i="2"/>
  <c r="I752" i="2"/>
  <c r="I753" i="2"/>
  <c r="I754" i="2"/>
  <c r="I755" i="2"/>
  <c r="I756" i="2"/>
  <c r="I757" i="2"/>
  <c r="J757" i="2" s="1"/>
  <c r="I758" i="2"/>
  <c r="I759" i="2"/>
  <c r="I760" i="2"/>
  <c r="I761" i="2"/>
  <c r="I762" i="2"/>
  <c r="I763" i="2"/>
  <c r="I764" i="2"/>
  <c r="J764" i="2" s="1"/>
  <c r="I765" i="2"/>
  <c r="I766" i="2"/>
  <c r="I767" i="2"/>
  <c r="I768" i="2"/>
  <c r="I769" i="2"/>
  <c r="I770" i="2"/>
  <c r="I771" i="2"/>
  <c r="I772" i="2"/>
  <c r="I773" i="2"/>
  <c r="J773" i="2" s="1"/>
  <c r="I774" i="2"/>
  <c r="I775" i="2"/>
  <c r="I776" i="2"/>
  <c r="I777" i="2"/>
  <c r="I778" i="2"/>
  <c r="I779" i="2"/>
  <c r="I780" i="2"/>
  <c r="J780" i="2" s="1"/>
  <c r="I781" i="2"/>
  <c r="J781" i="2" s="1"/>
  <c r="I782" i="2"/>
  <c r="I783" i="2"/>
  <c r="I784" i="2"/>
  <c r="I785" i="2"/>
  <c r="I786" i="2"/>
  <c r="I787" i="2"/>
  <c r="I788" i="2"/>
  <c r="J788" i="2" s="1"/>
  <c r="I789" i="2"/>
  <c r="J789" i="2" s="1"/>
  <c r="I790" i="2"/>
  <c r="I791" i="2"/>
  <c r="I792" i="2"/>
  <c r="I793" i="2"/>
  <c r="I794" i="2"/>
  <c r="I795" i="2"/>
  <c r="I796" i="2"/>
  <c r="J796" i="2" s="1"/>
  <c r="I797" i="2"/>
  <c r="J797" i="2" s="1"/>
  <c r="I798" i="2"/>
  <c r="I799" i="2"/>
  <c r="I800" i="2"/>
  <c r="I801" i="2"/>
  <c r="I802" i="2"/>
  <c r="I803" i="2"/>
  <c r="I804" i="2"/>
  <c r="J804" i="2" s="1"/>
  <c r="I805" i="2"/>
  <c r="J805" i="2" s="1"/>
  <c r="I806" i="2"/>
  <c r="I807" i="2"/>
  <c r="I808" i="2"/>
  <c r="I809" i="2"/>
  <c r="I810" i="2"/>
  <c r="I811" i="2"/>
  <c r="I812" i="2"/>
  <c r="I813" i="2"/>
  <c r="J813" i="2" s="1"/>
  <c r="I814" i="2"/>
  <c r="I815" i="2"/>
  <c r="I816" i="2"/>
  <c r="I817" i="2"/>
  <c r="I818" i="2"/>
  <c r="I819" i="2"/>
  <c r="I820" i="2"/>
  <c r="I821" i="2"/>
  <c r="J821" i="2" s="1"/>
  <c r="I822" i="2"/>
  <c r="I823" i="2"/>
  <c r="I824" i="2"/>
  <c r="I825" i="2"/>
  <c r="I826" i="2"/>
  <c r="I827" i="2"/>
  <c r="I828" i="2"/>
  <c r="J828" i="2" s="1"/>
  <c r="I829" i="2"/>
  <c r="J829" i="2" s="1"/>
  <c r="I830" i="2"/>
  <c r="I831" i="2"/>
  <c r="I832" i="2"/>
  <c r="I833" i="2"/>
  <c r="I834" i="2"/>
  <c r="I835" i="2"/>
  <c r="I836" i="2"/>
  <c r="I837" i="2"/>
  <c r="I838" i="2"/>
  <c r="I839" i="2"/>
  <c r="I840" i="2"/>
  <c r="I841" i="2"/>
  <c r="I842" i="2"/>
  <c r="I843" i="2"/>
  <c r="I844" i="2"/>
  <c r="J844" i="2" s="1"/>
  <c r="I845" i="2"/>
  <c r="J845" i="2" s="1"/>
  <c r="I846" i="2"/>
  <c r="I847" i="2"/>
  <c r="I848" i="2"/>
  <c r="I849" i="2"/>
  <c r="I850" i="2"/>
  <c r="I851" i="2"/>
  <c r="I852" i="2"/>
  <c r="J852" i="2" s="1"/>
  <c r="I853" i="2"/>
  <c r="I854" i="2"/>
  <c r="I855" i="2"/>
  <c r="I856" i="2"/>
  <c r="I857" i="2"/>
  <c r="I858" i="2"/>
  <c r="I859" i="2"/>
  <c r="I860" i="2"/>
  <c r="J860" i="2" s="1"/>
  <c r="I861" i="2"/>
  <c r="J861" i="2" s="1"/>
  <c r="I862" i="2"/>
  <c r="I863" i="2"/>
  <c r="I864" i="2"/>
  <c r="I865" i="2"/>
  <c r="I866" i="2"/>
  <c r="I867" i="2"/>
  <c r="I868" i="2"/>
  <c r="J868" i="2" s="1"/>
  <c r="I869" i="2"/>
  <c r="I870" i="2"/>
  <c r="I871" i="2"/>
  <c r="I872" i="2"/>
  <c r="I873" i="2"/>
  <c r="J892" i="2"/>
  <c r="J900" i="2"/>
  <c r="J924" i="2"/>
  <c r="J940" i="2"/>
  <c r="J948" i="2"/>
  <c r="J972" i="2"/>
  <c r="J988" i="2"/>
  <c r="J996" i="2"/>
  <c r="J1004" i="2"/>
  <c r="J1028" i="2"/>
  <c r="J1044" i="2"/>
  <c r="J1052" i="2"/>
  <c r="J1060" i="2"/>
  <c r="J1076" i="2"/>
  <c r="J1084" i="2"/>
  <c r="J1092" i="2"/>
  <c r="J1108" i="2"/>
  <c r="J1116" i="2"/>
  <c r="J1124" i="2"/>
  <c r="J1132" i="2"/>
  <c r="J1148" i="2"/>
  <c r="J1156" i="2"/>
  <c r="J1164" i="2"/>
  <c r="J1180" i="2"/>
  <c r="J1188" i="2"/>
  <c r="J1196" i="2"/>
  <c r="J1212" i="2"/>
  <c r="J1220" i="2"/>
  <c r="J1228" i="2"/>
  <c r="I710" i="2"/>
  <c r="J936" i="2"/>
  <c r="J121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J81" i="2" s="1"/>
  <c r="D82" i="2"/>
  <c r="J82" i="2" s="1"/>
  <c r="D83" i="2"/>
  <c r="D84" i="2"/>
  <c r="J84" i="2" s="1"/>
  <c r="D85" i="2"/>
  <c r="J85" i="2" s="1"/>
  <c r="D86" i="2"/>
  <c r="D87" i="2"/>
  <c r="J87" i="2" s="1"/>
  <c r="D88" i="2"/>
  <c r="D89" i="2"/>
  <c r="J89" i="2" s="1"/>
  <c r="D90" i="2"/>
  <c r="J90" i="2" s="1"/>
  <c r="D91" i="2"/>
  <c r="D92" i="2"/>
  <c r="J92" i="2" s="1"/>
  <c r="D93" i="2"/>
  <c r="J93" i="2" s="1"/>
  <c r="D94" i="2"/>
  <c r="D95" i="2"/>
  <c r="J95" i="2" s="1"/>
  <c r="D96" i="2"/>
  <c r="D97" i="2"/>
  <c r="J97" i="2" s="1"/>
  <c r="D98" i="2"/>
  <c r="J98" i="2" s="1"/>
  <c r="D99" i="2"/>
  <c r="D100" i="2"/>
  <c r="J100" i="2" s="1"/>
  <c r="D101" i="2"/>
  <c r="J101" i="2" s="1"/>
  <c r="D102" i="2"/>
  <c r="D103" i="2"/>
  <c r="J103" i="2" s="1"/>
  <c r="D104" i="2"/>
  <c r="D105" i="2"/>
  <c r="J105" i="2" s="1"/>
  <c r="D106" i="2"/>
  <c r="J106" i="2" s="1"/>
  <c r="D107" i="2"/>
  <c r="D108" i="2"/>
  <c r="J108" i="2" s="1"/>
  <c r="D109" i="2"/>
  <c r="J109" i="2" s="1"/>
  <c r="D110" i="2"/>
  <c r="D111" i="2"/>
  <c r="J111" i="2" s="1"/>
  <c r="D112" i="2"/>
  <c r="D113" i="2"/>
  <c r="J113" i="2" s="1"/>
  <c r="D114" i="2"/>
  <c r="J114" i="2" s="1"/>
  <c r="D115" i="2"/>
  <c r="D116" i="2"/>
  <c r="J116" i="2" s="1"/>
  <c r="D117" i="2"/>
  <c r="J117" i="2" s="1"/>
  <c r="D118" i="2"/>
  <c r="D119" i="2"/>
  <c r="J119" i="2" s="1"/>
  <c r="D120" i="2"/>
  <c r="D121" i="2"/>
  <c r="J121" i="2" s="1"/>
  <c r="D122" i="2"/>
  <c r="J122" i="2" s="1"/>
  <c r="D123" i="2"/>
  <c r="D124" i="2"/>
  <c r="J124" i="2" s="1"/>
  <c r="D125" i="2"/>
  <c r="J125" i="2" s="1"/>
  <c r="D126" i="2"/>
  <c r="D127" i="2"/>
  <c r="J127" i="2" s="1"/>
  <c r="D128" i="2"/>
  <c r="D129" i="2"/>
  <c r="J129" i="2" s="1"/>
  <c r="D130" i="2"/>
  <c r="J130" i="2" s="1"/>
  <c r="D131" i="2"/>
  <c r="D132" i="2"/>
  <c r="J132" i="2" s="1"/>
  <c r="D133" i="2"/>
  <c r="J133" i="2" s="1"/>
  <c r="D134" i="2"/>
  <c r="D135" i="2"/>
  <c r="J135" i="2" s="1"/>
  <c r="D136" i="2"/>
  <c r="D137" i="2"/>
  <c r="J137" i="2" s="1"/>
  <c r="D138" i="2"/>
  <c r="J138" i="2" s="1"/>
  <c r="D139" i="2"/>
  <c r="D140" i="2"/>
  <c r="J140" i="2" s="1"/>
  <c r="D141" i="2"/>
  <c r="J141" i="2" s="1"/>
  <c r="D142" i="2"/>
  <c r="D143" i="2"/>
  <c r="J143" i="2" s="1"/>
  <c r="D144" i="2"/>
  <c r="D145" i="2"/>
  <c r="J145" i="2" s="1"/>
  <c r="D146" i="2"/>
  <c r="J146" i="2" s="1"/>
  <c r="D147" i="2"/>
  <c r="D148" i="2"/>
  <c r="J148" i="2" s="1"/>
  <c r="D149" i="2"/>
  <c r="J149" i="2" s="1"/>
  <c r="D150" i="2"/>
  <c r="D151" i="2"/>
  <c r="J151" i="2" s="1"/>
  <c r="D152" i="2"/>
  <c r="D153" i="2"/>
  <c r="J153" i="2" s="1"/>
  <c r="D154" i="2"/>
  <c r="J154" i="2" s="1"/>
  <c r="D155" i="2"/>
  <c r="D156" i="2"/>
  <c r="J156" i="2" s="1"/>
  <c r="D157" i="2"/>
  <c r="J157" i="2" s="1"/>
  <c r="D158" i="2"/>
  <c r="D159" i="2"/>
  <c r="J159" i="2" s="1"/>
  <c r="D160" i="2"/>
  <c r="D161" i="2"/>
  <c r="J161" i="2" s="1"/>
  <c r="D162" i="2"/>
  <c r="J162" i="2" s="1"/>
  <c r="D163" i="2"/>
  <c r="D164" i="2"/>
  <c r="J164" i="2" s="1"/>
  <c r="D165" i="2"/>
  <c r="J165" i="2" s="1"/>
  <c r="D166" i="2"/>
  <c r="D167" i="2"/>
  <c r="J167" i="2" s="1"/>
  <c r="D168" i="2"/>
  <c r="D169" i="2"/>
  <c r="J169" i="2" s="1"/>
  <c r="D170" i="2"/>
  <c r="J170" i="2" s="1"/>
  <c r="D171" i="2"/>
  <c r="D172" i="2"/>
  <c r="J172" i="2" s="1"/>
  <c r="D173" i="2"/>
  <c r="J173" i="2" s="1"/>
  <c r="D174" i="2"/>
  <c r="D175" i="2"/>
  <c r="J175" i="2" s="1"/>
  <c r="D176" i="2"/>
  <c r="D177" i="2"/>
  <c r="J177" i="2" s="1"/>
  <c r="D178" i="2"/>
  <c r="J178" i="2" s="1"/>
  <c r="D179" i="2"/>
  <c r="D180" i="2"/>
  <c r="J180" i="2" s="1"/>
  <c r="D181" i="2"/>
  <c r="J181" i="2" s="1"/>
  <c r="D182" i="2"/>
  <c r="D183" i="2"/>
  <c r="J183" i="2" s="1"/>
  <c r="D184" i="2"/>
  <c r="D185" i="2"/>
  <c r="J185" i="2" s="1"/>
  <c r="D186" i="2"/>
  <c r="J186" i="2" s="1"/>
  <c r="D187" i="2"/>
  <c r="D188" i="2"/>
  <c r="J188" i="2" s="1"/>
  <c r="D189" i="2"/>
  <c r="J189" i="2" s="1"/>
  <c r="D190" i="2"/>
  <c r="D191" i="2"/>
  <c r="J191" i="2" s="1"/>
  <c r="D192" i="2"/>
  <c r="D193" i="2"/>
  <c r="J193" i="2" s="1"/>
  <c r="D194" i="2"/>
  <c r="J194" i="2" s="1"/>
  <c r="D195" i="2"/>
  <c r="D196" i="2"/>
  <c r="J196" i="2" s="1"/>
  <c r="D197" i="2"/>
  <c r="J197" i="2" s="1"/>
  <c r="D198" i="2"/>
  <c r="D199" i="2"/>
  <c r="J199" i="2" s="1"/>
  <c r="D200" i="2"/>
  <c r="D201" i="2"/>
  <c r="J201" i="2" s="1"/>
  <c r="D202" i="2"/>
  <c r="J202" i="2" s="1"/>
  <c r="D203" i="2"/>
  <c r="D204" i="2"/>
  <c r="J204" i="2" s="1"/>
  <c r="D205" i="2"/>
  <c r="J205" i="2" s="1"/>
  <c r="D206" i="2"/>
  <c r="D207" i="2"/>
  <c r="J207" i="2" s="1"/>
  <c r="D208" i="2"/>
  <c r="D209" i="2"/>
  <c r="J209" i="2" s="1"/>
  <c r="D210" i="2"/>
  <c r="J210" i="2" s="1"/>
  <c r="D211" i="2"/>
  <c r="D212" i="2"/>
  <c r="J212" i="2" s="1"/>
  <c r="D213" i="2"/>
  <c r="J213" i="2" s="1"/>
  <c r="D214" i="2"/>
  <c r="D215" i="2"/>
  <c r="J215" i="2" s="1"/>
  <c r="D216" i="2"/>
  <c r="D217" i="2"/>
  <c r="J217" i="2" s="1"/>
  <c r="D218" i="2"/>
  <c r="J218" i="2" s="1"/>
  <c r="D219" i="2"/>
  <c r="D220" i="2"/>
  <c r="J220" i="2" s="1"/>
  <c r="D221" i="2"/>
  <c r="J221" i="2" s="1"/>
  <c r="D222" i="2"/>
  <c r="D223" i="2"/>
  <c r="J223" i="2" s="1"/>
  <c r="D224" i="2"/>
  <c r="D225" i="2"/>
  <c r="J225" i="2" s="1"/>
  <c r="D226" i="2"/>
  <c r="J226" i="2" s="1"/>
  <c r="D227" i="2"/>
  <c r="D228" i="2"/>
  <c r="J228" i="2" s="1"/>
  <c r="D229" i="2"/>
  <c r="J229" i="2" s="1"/>
  <c r="D230" i="2"/>
  <c r="D231" i="2"/>
  <c r="J231" i="2" s="1"/>
  <c r="D232" i="2"/>
  <c r="D233" i="2"/>
  <c r="J233" i="2" s="1"/>
  <c r="D234" i="2"/>
  <c r="J234" i="2" s="1"/>
  <c r="D235" i="2"/>
  <c r="D236" i="2"/>
  <c r="J236" i="2" s="1"/>
  <c r="D237" i="2"/>
  <c r="J237" i="2" s="1"/>
  <c r="D238" i="2"/>
  <c r="D239" i="2"/>
  <c r="J239" i="2" s="1"/>
  <c r="D240" i="2"/>
  <c r="D241" i="2"/>
  <c r="J241" i="2" s="1"/>
  <c r="D242" i="2"/>
  <c r="J242" i="2" s="1"/>
  <c r="D243" i="2"/>
  <c r="D244" i="2"/>
  <c r="J244" i="2" s="1"/>
  <c r="D245" i="2"/>
  <c r="J245" i="2" s="1"/>
  <c r="D246" i="2"/>
  <c r="D247" i="2"/>
  <c r="J247" i="2" s="1"/>
  <c r="D248" i="2"/>
  <c r="D249" i="2"/>
  <c r="J249" i="2" s="1"/>
  <c r="D250" i="2"/>
  <c r="J250" i="2" s="1"/>
  <c r="D251" i="2"/>
  <c r="D252" i="2"/>
  <c r="J252" i="2" s="1"/>
  <c r="D253" i="2"/>
  <c r="J253" i="2" s="1"/>
  <c r="D254" i="2"/>
  <c r="D255" i="2"/>
  <c r="J255" i="2" s="1"/>
  <c r="D256" i="2"/>
  <c r="D257" i="2"/>
  <c r="J257" i="2" s="1"/>
  <c r="D258" i="2"/>
  <c r="J258" i="2" s="1"/>
  <c r="D259" i="2"/>
  <c r="D260" i="2"/>
  <c r="J260" i="2" s="1"/>
  <c r="D261" i="2"/>
  <c r="J261" i="2" s="1"/>
  <c r="D262" i="2"/>
  <c r="D263" i="2"/>
  <c r="J263" i="2" s="1"/>
  <c r="D264" i="2"/>
  <c r="D265" i="2"/>
  <c r="J265" i="2" s="1"/>
  <c r="D266" i="2"/>
  <c r="J266" i="2" s="1"/>
  <c r="D267" i="2"/>
  <c r="D268" i="2"/>
  <c r="J268" i="2" s="1"/>
  <c r="D269" i="2"/>
  <c r="J269" i="2" s="1"/>
  <c r="D270" i="2"/>
  <c r="D271" i="2"/>
  <c r="J271" i="2" s="1"/>
  <c r="D272" i="2"/>
  <c r="D273" i="2"/>
  <c r="J273" i="2" s="1"/>
  <c r="D274" i="2"/>
  <c r="J274" i="2" s="1"/>
  <c r="D275" i="2"/>
  <c r="D276" i="2"/>
  <c r="J276" i="2" s="1"/>
  <c r="D277" i="2"/>
  <c r="J277" i="2" s="1"/>
  <c r="D278" i="2"/>
  <c r="D279" i="2"/>
  <c r="J279" i="2" s="1"/>
  <c r="D280" i="2"/>
  <c r="D281" i="2"/>
  <c r="J281" i="2" s="1"/>
  <c r="D282" i="2"/>
  <c r="J282" i="2" s="1"/>
  <c r="D283" i="2"/>
  <c r="D284" i="2"/>
  <c r="J284" i="2" s="1"/>
  <c r="D285" i="2"/>
  <c r="J285" i="2" s="1"/>
  <c r="D286" i="2"/>
  <c r="D287" i="2"/>
  <c r="J287" i="2" s="1"/>
  <c r="D288" i="2"/>
  <c r="D289" i="2"/>
  <c r="J289" i="2" s="1"/>
  <c r="D290" i="2"/>
  <c r="J290" i="2" s="1"/>
  <c r="D291" i="2"/>
  <c r="D292" i="2"/>
  <c r="J292" i="2" s="1"/>
  <c r="D293" i="2"/>
  <c r="J293" i="2" s="1"/>
  <c r="D294" i="2"/>
  <c r="D295" i="2"/>
  <c r="J295" i="2" s="1"/>
  <c r="D296" i="2"/>
  <c r="D297" i="2"/>
  <c r="J297" i="2" s="1"/>
  <c r="D298" i="2"/>
  <c r="J298" i="2" s="1"/>
  <c r="D299" i="2"/>
  <c r="D300" i="2"/>
  <c r="J300" i="2" s="1"/>
  <c r="D301" i="2"/>
  <c r="J301" i="2" s="1"/>
  <c r="D302" i="2"/>
  <c r="D303" i="2"/>
  <c r="J303" i="2" s="1"/>
  <c r="D304" i="2"/>
  <c r="D305" i="2"/>
  <c r="J305" i="2" s="1"/>
  <c r="D306" i="2"/>
  <c r="J306" i="2" s="1"/>
  <c r="D307" i="2"/>
  <c r="D308" i="2"/>
  <c r="J308" i="2" s="1"/>
  <c r="D309" i="2"/>
  <c r="J309" i="2" s="1"/>
  <c r="D310" i="2"/>
  <c r="D311" i="2"/>
  <c r="J311" i="2" s="1"/>
  <c r="D312" i="2"/>
  <c r="D313" i="2"/>
  <c r="J313" i="2" s="1"/>
  <c r="D314" i="2"/>
  <c r="J314" i="2" s="1"/>
  <c r="D315" i="2"/>
  <c r="D316" i="2"/>
  <c r="J316" i="2" s="1"/>
  <c r="D317" i="2"/>
  <c r="J317" i="2" s="1"/>
  <c r="D318" i="2"/>
  <c r="D319" i="2"/>
  <c r="J319" i="2" s="1"/>
  <c r="D320" i="2"/>
  <c r="D321" i="2"/>
  <c r="J321" i="2" s="1"/>
  <c r="D322" i="2"/>
  <c r="J322" i="2" s="1"/>
  <c r="D323" i="2"/>
  <c r="D324" i="2"/>
  <c r="J324" i="2" s="1"/>
  <c r="D325" i="2"/>
  <c r="J325" i="2" s="1"/>
  <c r="D326" i="2"/>
  <c r="D327" i="2"/>
  <c r="J327" i="2" s="1"/>
  <c r="D328" i="2"/>
  <c r="D329" i="2"/>
  <c r="J329" i="2" s="1"/>
  <c r="D330" i="2"/>
  <c r="J330" i="2" s="1"/>
  <c r="D331" i="2"/>
  <c r="D332" i="2"/>
  <c r="J332" i="2" s="1"/>
  <c r="D333" i="2"/>
  <c r="J333" i="2" s="1"/>
  <c r="D334" i="2"/>
  <c r="D335" i="2"/>
  <c r="J335" i="2" s="1"/>
  <c r="D336" i="2"/>
  <c r="D337" i="2"/>
  <c r="J337" i="2" s="1"/>
  <c r="D338" i="2"/>
  <c r="J338" i="2" s="1"/>
  <c r="D339" i="2"/>
  <c r="D340" i="2"/>
  <c r="J340" i="2" s="1"/>
  <c r="D341" i="2"/>
  <c r="J341" i="2" s="1"/>
  <c r="D342" i="2"/>
  <c r="D343" i="2"/>
  <c r="J343" i="2" s="1"/>
  <c r="D344" i="2"/>
  <c r="D345" i="2"/>
  <c r="J345" i="2" s="1"/>
  <c r="D346" i="2"/>
  <c r="J346" i="2" s="1"/>
  <c r="D347" i="2"/>
  <c r="D348" i="2"/>
  <c r="J348" i="2" s="1"/>
  <c r="D349" i="2"/>
  <c r="J349" i="2" s="1"/>
  <c r="D350" i="2"/>
  <c r="D351" i="2"/>
  <c r="J351" i="2" s="1"/>
  <c r="D352" i="2"/>
  <c r="D353" i="2"/>
  <c r="J353" i="2" s="1"/>
  <c r="D354" i="2"/>
  <c r="J354" i="2" s="1"/>
  <c r="D355" i="2"/>
  <c r="D356" i="2"/>
  <c r="J356" i="2" s="1"/>
  <c r="D357" i="2"/>
  <c r="J357" i="2" s="1"/>
  <c r="D358" i="2"/>
  <c r="D359" i="2"/>
  <c r="J359" i="2" s="1"/>
  <c r="D360" i="2"/>
  <c r="D361" i="2"/>
  <c r="J361" i="2" s="1"/>
  <c r="D362" i="2"/>
  <c r="J362" i="2" s="1"/>
  <c r="D363" i="2"/>
  <c r="D364" i="2"/>
  <c r="J364" i="2" s="1"/>
  <c r="D365" i="2"/>
  <c r="J365" i="2" s="1"/>
  <c r="D366" i="2"/>
  <c r="D367" i="2"/>
  <c r="J367" i="2" s="1"/>
  <c r="D368" i="2"/>
  <c r="D369" i="2"/>
  <c r="J369" i="2" s="1"/>
  <c r="D370" i="2"/>
  <c r="J370" i="2" s="1"/>
  <c r="D371" i="2"/>
  <c r="D372" i="2"/>
  <c r="J372" i="2" s="1"/>
  <c r="D373" i="2"/>
  <c r="J373" i="2" s="1"/>
  <c r="D374" i="2"/>
  <c r="D375" i="2"/>
  <c r="J375" i="2" s="1"/>
  <c r="D376" i="2"/>
  <c r="D377" i="2"/>
  <c r="J377" i="2" s="1"/>
  <c r="D378" i="2"/>
  <c r="J378" i="2" s="1"/>
  <c r="D379" i="2"/>
  <c r="D380" i="2"/>
  <c r="J380" i="2" s="1"/>
  <c r="D381" i="2"/>
  <c r="J381" i="2" s="1"/>
  <c r="D382" i="2"/>
  <c r="D383" i="2"/>
  <c r="J383" i="2" s="1"/>
  <c r="D384" i="2"/>
  <c r="D385" i="2"/>
  <c r="J385" i="2" s="1"/>
  <c r="D386" i="2"/>
  <c r="J386" i="2" s="1"/>
  <c r="D387" i="2"/>
  <c r="D388" i="2"/>
  <c r="J388" i="2" s="1"/>
  <c r="D389" i="2"/>
  <c r="J389" i="2" s="1"/>
  <c r="D390" i="2"/>
  <c r="D391" i="2"/>
  <c r="J391" i="2" s="1"/>
  <c r="D392" i="2"/>
  <c r="D393" i="2"/>
  <c r="J393" i="2" s="1"/>
  <c r="D394" i="2"/>
  <c r="J394" i="2" s="1"/>
  <c r="D395" i="2"/>
  <c r="D396" i="2"/>
  <c r="J396" i="2" s="1"/>
  <c r="D397" i="2"/>
  <c r="J397" i="2" s="1"/>
  <c r="D398" i="2"/>
  <c r="D399" i="2"/>
  <c r="J399" i="2" s="1"/>
  <c r="D400" i="2"/>
  <c r="D401" i="2"/>
  <c r="J401" i="2" s="1"/>
  <c r="D402" i="2"/>
  <c r="J402" i="2" s="1"/>
  <c r="D403" i="2"/>
  <c r="D404" i="2"/>
  <c r="J404" i="2" s="1"/>
  <c r="D405" i="2"/>
  <c r="J405" i="2" s="1"/>
  <c r="D406" i="2"/>
  <c r="D407" i="2"/>
  <c r="J407" i="2" s="1"/>
  <c r="D408" i="2"/>
  <c r="D409" i="2"/>
  <c r="J409" i="2" s="1"/>
  <c r="D410" i="2"/>
  <c r="J410" i="2" s="1"/>
  <c r="D411" i="2"/>
  <c r="D412" i="2"/>
  <c r="J412" i="2" s="1"/>
  <c r="D413" i="2"/>
  <c r="J413" i="2" s="1"/>
  <c r="D414" i="2"/>
  <c r="D415" i="2"/>
  <c r="J415" i="2" s="1"/>
  <c r="D416" i="2"/>
  <c r="D417" i="2"/>
  <c r="J417" i="2" s="1"/>
  <c r="D418" i="2"/>
  <c r="J418" i="2" s="1"/>
  <c r="D419" i="2"/>
  <c r="D420" i="2"/>
  <c r="J420" i="2" s="1"/>
  <c r="D421" i="2"/>
  <c r="J421" i="2" s="1"/>
  <c r="D422" i="2"/>
  <c r="D423" i="2"/>
  <c r="J423" i="2" s="1"/>
  <c r="D424" i="2"/>
  <c r="D425" i="2"/>
  <c r="J425" i="2" s="1"/>
  <c r="D426" i="2"/>
  <c r="J426" i="2" s="1"/>
  <c r="D427" i="2"/>
  <c r="D428" i="2"/>
  <c r="J428" i="2" s="1"/>
  <c r="D429" i="2"/>
  <c r="J429" i="2" s="1"/>
  <c r="D430" i="2"/>
  <c r="D431" i="2"/>
  <c r="J431" i="2" s="1"/>
  <c r="D432" i="2"/>
  <c r="D433" i="2"/>
  <c r="J433" i="2" s="1"/>
  <c r="D434" i="2"/>
  <c r="J434" i="2" s="1"/>
  <c r="D435" i="2"/>
  <c r="D436" i="2"/>
  <c r="J436" i="2" s="1"/>
  <c r="D437" i="2"/>
  <c r="J437" i="2" s="1"/>
  <c r="D438" i="2"/>
  <c r="D439" i="2"/>
  <c r="J439" i="2" s="1"/>
  <c r="D440" i="2"/>
  <c r="D441" i="2"/>
  <c r="J441" i="2" s="1"/>
  <c r="D442" i="2"/>
  <c r="J442" i="2" s="1"/>
  <c r="D443" i="2"/>
  <c r="D444" i="2"/>
  <c r="J444" i="2" s="1"/>
  <c r="D445" i="2"/>
  <c r="J445" i="2" s="1"/>
  <c r="D446" i="2"/>
  <c r="D447" i="2"/>
  <c r="J447" i="2" s="1"/>
  <c r="D448" i="2"/>
  <c r="D449" i="2"/>
  <c r="J449" i="2" s="1"/>
  <c r="D450" i="2"/>
  <c r="J450" i="2" s="1"/>
  <c r="D451" i="2"/>
  <c r="D452" i="2"/>
  <c r="J452" i="2" s="1"/>
  <c r="D453" i="2"/>
  <c r="J453" i="2" s="1"/>
  <c r="D454" i="2"/>
  <c r="D455" i="2"/>
  <c r="J455" i="2" s="1"/>
  <c r="D456" i="2"/>
  <c r="D457" i="2"/>
  <c r="J457" i="2" s="1"/>
  <c r="D458" i="2"/>
  <c r="J458" i="2" s="1"/>
  <c r="D459" i="2"/>
  <c r="D460" i="2"/>
  <c r="J460" i="2" s="1"/>
  <c r="D461" i="2"/>
  <c r="J461" i="2" s="1"/>
  <c r="D462" i="2"/>
  <c r="D463" i="2"/>
  <c r="J463" i="2" s="1"/>
  <c r="D464" i="2"/>
  <c r="D465" i="2"/>
  <c r="J465" i="2" s="1"/>
  <c r="D466" i="2"/>
  <c r="J466" i="2" s="1"/>
  <c r="D467" i="2"/>
  <c r="D468" i="2"/>
  <c r="J468" i="2" s="1"/>
  <c r="D469" i="2"/>
  <c r="J469" i="2" s="1"/>
  <c r="D470" i="2"/>
  <c r="D471" i="2"/>
  <c r="J471" i="2" s="1"/>
  <c r="D472" i="2"/>
  <c r="D473" i="2"/>
  <c r="J473" i="2" s="1"/>
  <c r="D474" i="2"/>
  <c r="J474" i="2" s="1"/>
  <c r="D475" i="2"/>
  <c r="D476" i="2"/>
  <c r="J476" i="2" s="1"/>
  <c r="D477" i="2"/>
  <c r="J477" i="2" s="1"/>
  <c r="D478" i="2"/>
  <c r="D479" i="2"/>
  <c r="J479" i="2" s="1"/>
  <c r="D480" i="2"/>
  <c r="D481" i="2"/>
  <c r="J481" i="2" s="1"/>
  <c r="D482" i="2"/>
  <c r="J482" i="2" s="1"/>
  <c r="D483" i="2"/>
  <c r="D484" i="2"/>
  <c r="J484" i="2" s="1"/>
  <c r="D485" i="2"/>
  <c r="J485" i="2" s="1"/>
  <c r="D486" i="2"/>
  <c r="D487" i="2"/>
  <c r="J487" i="2" s="1"/>
  <c r="D488" i="2"/>
  <c r="D489" i="2"/>
  <c r="J489" i="2" s="1"/>
  <c r="D490" i="2"/>
  <c r="J490" i="2" s="1"/>
  <c r="D491" i="2"/>
  <c r="D492" i="2"/>
  <c r="J492" i="2" s="1"/>
  <c r="D493" i="2"/>
  <c r="J493" i="2" s="1"/>
  <c r="D494" i="2"/>
  <c r="D495" i="2"/>
  <c r="J495" i="2" s="1"/>
  <c r="D496" i="2"/>
  <c r="D497" i="2"/>
  <c r="J497" i="2" s="1"/>
  <c r="D498" i="2"/>
  <c r="J498" i="2" s="1"/>
  <c r="D499" i="2"/>
  <c r="D500" i="2"/>
  <c r="J500" i="2" s="1"/>
  <c r="D501" i="2"/>
  <c r="J501" i="2" s="1"/>
  <c r="D502" i="2"/>
  <c r="D503" i="2"/>
  <c r="J503" i="2" s="1"/>
  <c r="D504" i="2"/>
  <c r="D505" i="2"/>
  <c r="J505" i="2" s="1"/>
  <c r="D506" i="2"/>
  <c r="J506" i="2" s="1"/>
  <c r="D507" i="2"/>
  <c r="D508" i="2"/>
  <c r="J508" i="2" s="1"/>
  <c r="D509" i="2"/>
  <c r="J509" i="2" s="1"/>
  <c r="D510" i="2"/>
  <c r="D511" i="2"/>
  <c r="J511" i="2" s="1"/>
  <c r="D512" i="2"/>
  <c r="D513" i="2"/>
  <c r="J513" i="2" s="1"/>
  <c r="D514" i="2"/>
  <c r="J514" i="2" s="1"/>
  <c r="D515" i="2"/>
  <c r="D516" i="2"/>
  <c r="J516" i="2" s="1"/>
  <c r="D517" i="2"/>
  <c r="J517" i="2" s="1"/>
  <c r="D518" i="2"/>
  <c r="D519" i="2"/>
  <c r="J519" i="2" s="1"/>
  <c r="D520" i="2"/>
  <c r="D521" i="2"/>
  <c r="J521" i="2" s="1"/>
  <c r="D522" i="2"/>
  <c r="J522" i="2" s="1"/>
  <c r="D523" i="2"/>
  <c r="D524" i="2"/>
  <c r="J524" i="2" s="1"/>
  <c r="D525" i="2"/>
  <c r="J525" i="2" s="1"/>
  <c r="D526" i="2"/>
  <c r="D527" i="2"/>
  <c r="J527" i="2" s="1"/>
  <c r="D528" i="2"/>
  <c r="D529" i="2"/>
  <c r="J529" i="2" s="1"/>
  <c r="D530" i="2"/>
  <c r="J530" i="2" s="1"/>
  <c r="D531" i="2"/>
  <c r="D532" i="2"/>
  <c r="J532" i="2" s="1"/>
  <c r="D533" i="2"/>
  <c r="J533" i="2" s="1"/>
  <c r="D534" i="2"/>
  <c r="D535" i="2"/>
  <c r="J535" i="2" s="1"/>
  <c r="D536" i="2"/>
  <c r="D537" i="2"/>
  <c r="J537" i="2" s="1"/>
  <c r="D538" i="2"/>
  <c r="J538" i="2" s="1"/>
  <c r="D539" i="2"/>
  <c r="D540" i="2"/>
  <c r="J540" i="2" s="1"/>
  <c r="D541" i="2"/>
  <c r="J541" i="2" s="1"/>
  <c r="D542" i="2"/>
  <c r="D543" i="2"/>
  <c r="J543" i="2" s="1"/>
  <c r="D544" i="2"/>
  <c r="D545" i="2"/>
  <c r="J545" i="2" s="1"/>
  <c r="D546" i="2"/>
  <c r="J546" i="2" s="1"/>
  <c r="D547" i="2"/>
  <c r="D548" i="2"/>
  <c r="J548" i="2" s="1"/>
  <c r="D549" i="2"/>
  <c r="J549" i="2" s="1"/>
  <c r="D550" i="2"/>
  <c r="D551" i="2"/>
  <c r="J551" i="2" s="1"/>
  <c r="D552" i="2"/>
  <c r="D553" i="2"/>
  <c r="J553" i="2" s="1"/>
  <c r="D554" i="2"/>
  <c r="J554" i="2" s="1"/>
  <c r="D555" i="2"/>
  <c r="D556" i="2"/>
  <c r="J556" i="2" s="1"/>
  <c r="D557" i="2"/>
  <c r="J557" i="2" s="1"/>
  <c r="D558" i="2"/>
  <c r="D559" i="2"/>
  <c r="J559" i="2" s="1"/>
  <c r="D560" i="2"/>
  <c r="D561" i="2"/>
  <c r="J561" i="2" s="1"/>
  <c r="D562" i="2"/>
  <c r="J562" i="2" s="1"/>
  <c r="D563" i="2"/>
  <c r="D564" i="2"/>
  <c r="J564" i="2" s="1"/>
  <c r="D565" i="2"/>
  <c r="J565" i="2" s="1"/>
  <c r="D566" i="2"/>
  <c r="D567" i="2"/>
  <c r="J567" i="2" s="1"/>
  <c r="D568" i="2"/>
  <c r="D569" i="2"/>
  <c r="J569" i="2" s="1"/>
  <c r="D570" i="2"/>
  <c r="J570" i="2" s="1"/>
  <c r="D571" i="2"/>
  <c r="D572" i="2"/>
  <c r="J572" i="2" s="1"/>
  <c r="D573" i="2"/>
  <c r="J573" i="2" s="1"/>
  <c r="D574" i="2"/>
  <c r="D575" i="2"/>
  <c r="J575" i="2" s="1"/>
  <c r="D576" i="2"/>
  <c r="D577" i="2"/>
  <c r="J577" i="2" s="1"/>
  <c r="D578" i="2"/>
  <c r="J578" i="2" s="1"/>
  <c r="D579" i="2"/>
  <c r="D580" i="2"/>
  <c r="J580" i="2" s="1"/>
  <c r="D581" i="2"/>
  <c r="J581" i="2" s="1"/>
  <c r="D582" i="2"/>
  <c r="D583" i="2"/>
  <c r="J583" i="2" s="1"/>
  <c r="D584" i="2"/>
  <c r="D585" i="2"/>
  <c r="J585" i="2" s="1"/>
  <c r="D586" i="2"/>
  <c r="J586" i="2" s="1"/>
  <c r="D587" i="2"/>
  <c r="D588" i="2"/>
  <c r="J588" i="2" s="1"/>
  <c r="D589" i="2"/>
  <c r="J589" i="2" s="1"/>
  <c r="D590" i="2"/>
  <c r="D591" i="2"/>
  <c r="J591" i="2" s="1"/>
  <c r="D592" i="2"/>
  <c r="D593" i="2"/>
  <c r="J593" i="2" s="1"/>
  <c r="D594" i="2"/>
  <c r="J594" i="2" s="1"/>
  <c r="D595" i="2"/>
  <c r="D596" i="2"/>
  <c r="J596" i="2" s="1"/>
  <c r="D597" i="2"/>
  <c r="J597" i="2" s="1"/>
  <c r="D598" i="2"/>
  <c r="D599" i="2"/>
  <c r="J599" i="2" s="1"/>
  <c r="D600" i="2"/>
  <c r="D601" i="2"/>
  <c r="J601" i="2" s="1"/>
  <c r="D602" i="2"/>
  <c r="J602" i="2" s="1"/>
  <c r="D603" i="2"/>
  <c r="D604" i="2"/>
  <c r="J604" i="2" s="1"/>
  <c r="D605" i="2"/>
  <c r="J605" i="2" s="1"/>
  <c r="D606" i="2"/>
  <c r="D607" i="2"/>
  <c r="J607" i="2" s="1"/>
  <c r="D608" i="2"/>
  <c r="D609" i="2"/>
  <c r="J609" i="2" s="1"/>
  <c r="D610" i="2"/>
  <c r="J610" i="2" s="1"/>
  <c r="D611" i="2"/>
  <c r="D612" i="2"/>
  <c r="J612" i="2" s="1"/>
  <c r="D613" i="2"/>
  <c r="J613" i="2" s="1"/>
  <c r="D614" i="2"/>
  <c r="D615" i="2"/>
  <c r="J615" i="2" s="1"/>
  <c r="D616" i="2"/>
  <c r="D617" i="2"/>
  <c r="J617" i="2" s="1"/>
  <c r="D618" i="2"/>
  <c r="J618" i="2" s="1"/>
  <c r="D619" i="2"/>
  <c r="J619" i="2" s="1"/>
  <c r="D620" i="2"/>
  <c r="J620" i="2" s="1"/>
  <c r="D621" i="2"/>
  <c r="J621" i="2" s="1"/>
  <c r="D622" i="2"/>
  <c r="D623" i="2"/>
  <c r="J623" i="2" s="1"/>
  <c r="D624" i="2"/>
  <c r="D625" i="2"/>
  <c r="J625" i="2" s="1"/>
  <c r="D626" i="2"/>
  <c r="J626" i="2" s="1"/>
  <c r="D627" i="2"/>
  <c r="J627" i="2" s="1"/>
  <c r="D628" i="2"/>
  <c r="J628" i="2" s="1"/>
  <c r="D629" i="2"/>
  <c r="J629" i="2" s="1"/>
  <c r="D630" i="2"/>
  <c r="D631" i="2"/>
  <c r="J631" i="2" s="1"/>
  <c r="D632" i="2"/>
  <c r="D633" i="2"/>
  <c r="J633" i="2" s="1"/>
  <c r="D634" i="2"/>
  <c r="J634" i="2" s="1"/>
  <c r="D635" i="2"/>
  <c r="J635" i="2" s="1"/>
  <c r="D636" i="2"/>
  <c r="J636" i="2" s="1"/>
  <c r="D637" i="2"/>
  <c r="J637" i="2" s="1"/>
  <c r="D638" i="2"/>
  <c r="D639" i="2"/>
  <c r="J639" i="2" s="1"/>
  <c r="D640" i="2"/>
  <c r="D641" i="2"/>
  <c r="J641" i="2" s="1"/>
  <c r="D642" i="2"/>
  <c r="J642" i="2" s="1"/>
  <c r="D643" i="2"/>
  <c r="J643" i="2" s="1"/>
  <c r="D644" i="2"/>
  <c r="J644" i="2" s="1"/>
  <c r="D645" i="2"/>
  <c r="J645" i="2" s="1"/>
  <c r="D646" i="2"/>
  <c r="D647" i="2"/>
  <c r="J647" i="2" s="1"/>
  <c r="D648" i="2"/>
  <c r="D649" i="2"/>
  <c r="J649" i="2" s="1"/>
  <c r="D650" i="2"/>
  <c r="J650" i="2" s="1"/>
  <c r="D651" i="2"/>
  <c r="J651" i="2" s="1"/>
  <c r="D652" i="2"/>
  <c r="J652" i="2" s="1"/>
  <c r="D653" i="2"/>
  <c r="J653" i="2" s="1"/>
  <c r="D654" i="2"/>
  <c r="D655" i="2"/>
  <c r="J655" i="2" s="1"/>
  <c r="D656" i="2"/>
  <c r="D657" i="2"/>
  <c r="J657" i="2" s="1"/>
  <c r="D658" i="2"/>
  <c r="J658" i="2" s="1"/>
  <c r="D659" i="2"/>
  <c r="J659" i="2" s="1"/>
  <c r="D660" i="2"/>
  <c r="J660" i="2" s="1"/>
  <c r="D661" i="2"/>
  <c r="J661" i="2" s="1"/>
  <c r="D662" i="2"/>
  <c r="D663" i="2"/>
  <c r="J663" i="2" s="1"/>
  <c r="D664" i="2"/>
  <c r="D665" i="2"/>
  <c r="J665" i="2" s="1"/>
  <c r="D666" i="2"/>
  <c r="J666" i="2" s="1"/>
  <c r="D667" i="2"/>
  <c r="J667" i="2" s="1"/>
  <c r="D668" i="2"/>
  <c r="J668" i="2" s="1"/>
  <c r="D669" i="2"/>
  <c r="J669" i="2" s="1"/>
  <c r="D670" i="2"/>
  <c r="D671" i="2"/>
  <c r="J671" i="2" s="1"/>
  <c r="D672" i="2"/>
  <c r="D673" i="2"/>
  <c r="J673" i="2" s="1"/>
  <c r="D674" i="2"/>
  <c r="J674" i="2" s="1"/>
  <c r="D675" i="2"/>
  <c r="J675" i="2" s="1"/>
  <c r="D676" i="2"/>
  <c r="J676" i="2" s="1"/>
  <c r="D677" i="2"/>
  <c r="J677" i="2" s="1"/>
  <c r="D678" i="2"/>
  <c r="D679" i="2"/>
  <c r="J679" i="2" s="1"/>
  <c r="D680" i="2"/>
  <c r="D681" i="2"/>
  <c r="J681" i="2" s="1"/>
  <c r="D682" i="2"/>
  <c r="J682" i="2" s="1"/>
  <c r="D683" i="2"/>
  <c r="J683" i="2" s="1"/>
  <c r="D684" i="2"/>
  <c r="J684" i="2" s="1"/>
  <c r="D685" i="2"/>
  <c r="J685" i="2" s="1"/>
  <c r="D686" i="2"/>
  <c r="D687" i="2"/>
  <c r="J687" i="2" s="1"/>
  <c r="D688" i="2"/>
  <c r="D689" i="2"/>
  <c r="J689" i="2" s="1"/>
  <c r="D690" i="2"/>
  <c r="J690" i="2" s="1"/>
  <c r="D691" i="2"/>
  <c r="J691" i="2" s="1"/>
  <c r="D692" i="2"/>
  <c r="J692" i="2" s="1"/>
  <c r="D693" i="2"/>
  <c r="J693" i="2" s="1"/>
  <c r="D694" i="2"/>
  <c r="D695" i="2"/>
  <c r="J695" i="2" s="1"/>
  <c r="D696" i="2"/>
  <c r="D697" i="2"/>
  <c r="J697" i="2" s="1"/>
  <c r="D698" i="2"/>
  <c r="J698" i="2" s="1"/>
  <c r="D699" i="2"/>
  <c r="J699" i="2" s="1"/>
  <c r="D700" i="2"/>
  <c r="J700" i="2" s="1"/>
  <c r="D701" i="2"/>
  <c r="J701" i="2" s="1"/>
  <c r="D702" i="2"/>
  <c r="D703" i="2"/>
  <c r="J703" i="2" s="1"/>
  <c r="D704" i="2"/>
  <c r="D705" i="2"/>
  <c r="J705" i="2" s="1"/>
  <c r="D706" i="2"/>
  <c r="J706" i="2" s="1"/>
  <c r="D707" i="2"/>
  <c r="J707" i="2" s="1"/>
  <c r="D708" i="2"/>
  <c r="J708" i="2" s="1"/>
  <c r="D709" i="2"/>
  <c r="J709" i="2" s="1"/>
  <c r="J712" i="2"/>
  <c r="J715" i="2"/>
  <c r="J720" i="2"/>
  <c r="J723" i="2"/>
  <c r="J728" i="2"/>
  <c r="J731" i="2"/>
  <c r="J736" i="2"/>
  <c r="J739" i="2"/>
  <c r="J744" i="2"/>
  <c r="J747" i="2"/>
  <c r="J748" i="2"/>
  <c r="J751" i="2"/>
  <c r="J752" i="2"/>
  <c r="J755" i="2"/>
  <c r="J756" i="2"/>
  <c r="J760" i="2"/>
  <c r="J763" i="2"/>
  <c r="J765" i="2"/>
  <c r="J767" i="2"/>
  <c r="J768" i="2"/>
  <c r="J771" i="2"/>
  <c r="J772" i="2"/>
  <c r="J776" i="2"/>
  <c r="J779" i="2"/>
  <c r="J783" i="2"/>
  <c r="J784" i="2"/>
  <c r="J787" i="2"/>
  <c r="J792" i="2"/>
  <c r="J795" i="2"/>
  <c r="J799" i="2"/>
  <c r="J800" i="2"/>
  <c r="J803" i="2"/>
  <c r="J808" i="2"/>
  <c r="J811" i="2"/>
  <c r="J812" i="2"/>
  <c r="J816" i="2"/>
  <c r="J819" i="2"/>
  <c r="J820" i="2"/>
  <c r="J823" i="2"/>
  <c r="J824" i="2"/>
  <c r="J827" i="2"/>
  <c r="J832" i="2"/>
  <c r="J835" i="2"/>
  <c r="J836" i="2"/>
  <c r="J837" i="2"/>
  <c r="J839" i="2"/>
  <c r="J840" i="2"/>
  <c r="J843" i="2"/>
  <c r="J848" i="2"/>
  <c r="J851" i="2"/>
  <c r="J853" i="2"/>
  <c r="J855" i="2"/>
  <c r="J856" i="2"/>
  <c r="J859" i="2"/>
  <c r="J864" i="2"/>
  <c r="J867" i="2"/>
  <c r="J869" i="2"/>
  <c r="J871" i="2"/>
  <c r="J872" i="2"/>
  <c r="J875" i="2"/>
  <c r="J876" i="2"/>
  <c r="J877" i="2"/>
  <c r="J880" i="2"/>
  <c r="J883" i="2"/>
  <c r="J884" i="2"/>
  <c r="J885" i="2"/>
  <c r="J891" i="2"/>
  <c r="J893" i="2"/>
  <c r="J896" i="2"/>
  <c r="J898" i="2"/>
  <c r="J899" i="2"/>
  <c r="J901" i="2"/>
  <c r="J906" i="2"/>
  <c r="J907" i="2"/>
  <c r="J908" i="2"/>
  <c r="J909" i="2"/>
  <c r="J914" i="2"/>
  <c r="J915" i="2"/>
  <c r="J916" i="2"/>
  <c r="J917" i="2"/>
  <c r="J922" i="2"/>
  <c r="J923" i="2"/>
  <c r="J925" i="2"/>
  <c r="J930" i="2"/>
  <c r="J931" i="2"/>
  <c r="J932" i="2"/>
  <c r="J933" i="2"/>
  <c r="J935" i="2"/>
  <c r="J938" i="2"/>
  <c r="J939" i="2"/>
  <c r="J941" i="2"/>
  <c r="J946" i="2"/>
  <c r="J947" i="2"/>
  <c r="J949" i="2"/>
  <c r="J954" i="2"/>
  <c r="J955" i="2"/>
  <c r="J956" i="2"/>
  <c r="J957" i="2"/>
  <c r="J962" i="2"/>
  <c r="J963" i="2"/>
  <c r="J964" i="2"/>
  <c r="J965" i="2"/>
  <c r="J970" i="2"/>
  <c r="J971" i="2"/>
  <c r="J973" i="2"/>
  <c r="J976" i="2"/>
  <c r="J978" i="2"/>
  <c r="J979" i="2"/>
  <c r="J980" i="2"/>
  <c r="J981" i="2"/>
  <c r="J986" i="2"/>
  <c r="J987" i="2"/>
  <c r="J989" i="2"/>
  <c r="J994" i="2"/>
  <c r="J995" i="2"/>
  <c r="J997" i="2"/>
  <c r="J1002" i="2"/>
  <c r="J1003" i="2"/>
  <c r="J1007" i="2"/>
  <c r="J1008" i="2"/>
  <c r="J1010" i="2"/>
  <c r="J1011" i="2"/>
  <c r="J1012" i="2"/>
  <c r="J1013" i="2"/>
  <c r="J1018" i="2"/>
  <c r="J1019" i="2"/>
  <c r="J1020" i="2"/>
  <c r="J1021" i="2"/>
  <c r="J1026" i="2"/>
  <c r="J1027" i="2"/>
  <c r="J1029" i="2"/>
  <c r="J1034" i="2"/>
  <c r="J1035" i="2"/>
  <c r="J1036" i="2"/>
  <c r="J1037" i="2"/>
  <c r="J1042" i="2"/>
  <c r="J1043" i="2"/>
  <c r="J1045" i="2"/>
  <c r="J1048" i="2"/>
  <c r="J1050" i="2"/>
  <c r="J1051" i="2"/>
  <c r="J1058" i="2"/>
  <c r="J1059" i="2"/>
  <c r="J1066" i="2"/>
  <c r="J1067" i="2"/>
  <c r="J1068" i="2"/>
  <c r="J1072" i="2"/>
  <c r="J1074" i="2"/>
  <c r="J1075" i="2"/>
  <c r="J1082" i="2"/>
  <c r="J1083" i="2"/>
  <c r="J1090" i="2"/>
  <c r="J1091" i="2"/>
  <c r="J1096" i="2"/>
  <c r="J1097" i="2"/>
  <c r="J1098" i="2"/>
  <c r="J1099" i="2"/>
  <c r="J1100" i="2"/>
  <c r="J1101" i="2"/>
  <c r="J1106" i="2"/>
  <c r="J1107" i="2"/>
  <c r="J1109" i="2"/>
  <c r="J1114" i="2"/>
  <c r="J1115" i="2"/>
  <c r="J1119" i="2"/>
  <c r="J1122" i="2"/>
  <c r="J1123" i="2"/>
  <c r="J1130" i="2"/>
  <c r="J1131" i="2"/>
  <c r="J1138" i="2"/>
  <c r="J1139" i="2"/>
  <c r="J1140" i="2"/>
  <c r="J1143" i="2"/>
  <c r="J1146" i="2"/>
  <c r="J1147" i="2"/>
  <c r="J1154" i="2"/>
  <c r="J1155" i="2"/>
  <c r="J1162" i="2"/>
  <c r="J1163" i="2"/>
  <c r="J1165" i="2"/>
  <c r="J1167" i="2"/>
  <c r="J1170" i="2"/>
  <c r="J1171" i="2"/>
  <c r="J1172" i="2"/>
  <c r="J1178" i="2"/>
  <c r="J1179" i="2"/>
  <c r="J1186" i="2"/>
  <c r="J1187" i="2"/>
  <c r="J1191" i="2"/>
  <c r="J1192" i="2"/>
  <c r="J1194" i="2"/>
  <c r="J1195" i="2"/>
  <c r="J1202" i="2"/>
  <c r="J1203" i="2"/>
  <c r="J1204" i="2"/>
  <c r="J1210" i="2"/>
  <c r="J1213" i="2"/>
  <c r="J1216" i="2"/>
  <c r="J1218" i="2"/>
  <c r="J1219" i="2"/>
  <c r="J1221" i="2"/>
  <c r="J1226" i="2"/>
  <c r="J1227" i="2"/>
  <c r="J1231" i="2"/>
  <c r="D2" i="2"/>
  <c r="J1225" i="2" l="1"/>
  <c r="J1217" i="2"/>
  <c r="J1209" i="2"/>
  <c r="J1201" i="2"/>
  <c r="J1193" i="2"/>
  <c r="J1185" i="2"/>
  <c r="J1177" i="2"/>
  <c r="J1169" i="2"/>
  <c r="J1161" i="2"/>
  <c r="J1153" i="2"/>
  <c r="J1145" i="2"/>
  <c r="J1137" i="2"/>
  <c r="J1129" i="2"/>
  <c r="J1121" i="2"/>
  <c r="J1113" i="2"/>
  <c r="J1105" i="2"/>
  <c r="J1089" i="2"/>
  <c r="J1081" i="2"/>
  <c r="J1073" i="2"/>
  <c r="J1065" i="2"/>
  <c r="J1057" i="2"/>
  <c r="J1049" i="2"/>
  <c r="J1041" i="2"/>
  <c r="J1033" i="2"/>
  <c r="J1025" i="2"/>
  <c r="J1017" i="2"/>
  <c r="J1009" i="2"/>
  <c r="J1001" i="2"/>
  <c r="J993" i="2"/>
  <c r="J985" i="2"/>
  <c r="J977" i="2"/>
  <c r="J969" i="2"/>
  <c r="J961" i="2"/>
  <c r="J953" i="2"/>
  <c r="J945" i="2"/>
  <c r="J937" i="2"/>
  <c r="J929" i="2"/>
  <c r="J921" i="2"/>
  <c r="J913" i="2"/>
  <c r="J905" i="2"/>
  <c r="J897" i="2"/>
  <c r="J1224" i="2"/>
  <c r="J1208" i="2"/>
  <c r="J1200" i="2"/>
  <c r="J1184" i="2"/>
  <c r="J1176" i="2"/>
  <c r="J1168" i="2"/>
  <c r="J1160" i="2"/>
  <c r="J1152" i="2"/>
  <c r="J1144" i="2"/>
  <c r="J1136" i="2"/>
  <c r="J1128" i="2"/>
  <c r="J1120" i="2"/>
  <c r="J1112" i="2"/>
  <c r="J1104" i="2"/>
  <c r="J1088" i="2"/>
  <c r="J1080" i="2"/>
  <c r="J1064" i="2"/>
  <c r="J1056" i="2"/>
  <c r="J1040" i="2"/>
  <c r="J1032" i="2"/>
  <c r="J1024" i="2"/>
  <c r="J1016" i="2"/>
  <c r="J1000" i="2"/>
  <c r="J992" i="2"/>
  <c r="J984" i="2"/>
  <c r="J968" i="2"/>
  <c r="J960" i="2"/>
  <c r="J952" i="2"/>
  <c r="J944" i="2"/>
  <c r="J928" i="2"/>
  <c r="J920" i="2"/>
  <c r="J912" i="2"/>
  <c r="J904" i="2"/>
  <c r="J888" i="2"/>
  <c r="J1223" i="2"/>
  <c r="J1207" i="2"/>
  <c r="J1199" i="2"/>
  <c r="J1183" i="2"/>
  <c r="J1175" i="2"/>
  <c r="J1159" i="2"/>
  <c r="J1151" i="2"/>
  <c r="J1135" i="2"/>
  <c r="J1127" i="2"/>
  <c r="J1111" i="2"/>
  <c r="J1103" i="2"/>
  <c r="J1087" i="2"/>
  <c r="J1079" i="2"/>
  <c r="J1063" i="2"/>
  <c r="J1055" i="2"/>
  <c r="J1039" i="2"/>
  <c r="J1031" i="2"/>
  <c r="J1023" i="2"/>
  <c r="J1015" i="2"/>
  <c r="J999" i="2"/>
  <c r="J991" i="2"/>
  <c r="J983" i="2"/>
  <c r="J959" i="2"/>
  <c r="J951" i="2"/>
  <c r="J943" i="2"/>
  <c r="J927" i="2"/>
  <c r="J919" i="2"/>
  <c r="J911" i="2"/>
  <c r="J903" i="2"/>
  <c r="J895" i="2"/>
  <c r="J887" i="2"/>
  <c r="J1229" i="2"/>
  <c r="J1205" i="2"/>
  <c r="J1197" i="2"/>
  <c r="J1189" i="2"/>
  <c r="J1181" i="2"/>
  <c r="J1173" i="2"/>
  <c r="J1157" i="2"/>
  <c r="J1149" i="2"/>
  <c r="J1141" i="2"/>
  <c r="J1133" i="2"/>
  <c r="J1125" i="2"/>
  <c r="J1117" i="2"/>
  <c r="J1093" i="2"/>
  <c r="J1085" i="2"/>
  <c r="J1077" i="2"/>
  <c r="J1069" i="2"/>
  <c r="J1061" i="2"/>
  <c r="J1053" i="2"/>
  <c r="J1005" i="2"/>
  <c r="J704" i="2"/>
  <c r="J696" i="2"/>
  <c r="J688" i="2"/>
  <c r="J680" i="2"/>
  <c r="J672" i="2"/>
  <c r="J664" i="2"/>
  <c r="J656" i="2"/>
  <c r="J648" i="2"/>
  <c r="J640" i="2"/>
  <c r="J882" i="2"/>
  <c r="J858" i="2"/>
  <c r="J842" i="2"/>
  <c r="J826" i="2"/>
  <c r="J802" i="2"/>
  <c r="J778" i="2"/>
  <c r="J754" i="2"/>
  <c r="J746" i="2"/>
  <c r="J738" i="2"/>
  <c r="J714" i="2"/>
  <c r="J889" i="2"/>
  <c r="J881" i="2"/>
  <c r="J873" i="2"/>
  <c r="J865" i="2"/>
  <c r="J857" i="2"/>
  <c r="J849" i="2"/>
  <c r="J841" i="2"/>
  <c r="J833" i="2"/>
  <c r="J825" i="2"/>
  <c r="J817" i="2"/>
  <c r="J809" i="2"/>
  <c r="J801" i="2"/>
  <c r="J793" i="2"/>
  <c r="J785" i="2"/>
  <c r="J777" i="2"/>
  <c r="J769" i="2"/>
  <c r="J761" i="2"/>
  <c r="J753" i="2"/>
  <c r="J745" i="2"/>
  <c r="J737" i="2"/>
  <c r="J729" i="2"/>
  <c r="J721" i="2"/>
  <c r="J713" i="2"/>
  <c r="J890" i="2"/>
  <c r="J866" i="2"/>
  <c r="J834" i="2"/>
  <c r="J810" i="2"/>
  <c r="J786" i="2"/>
  <c r="J770" i="2"/>
  <c r="J730" i="2"/>
  <c r="J874" i="2"/>
  <c r="J850" i="2"/>
  <c r="J818" i="2"/>
  <c r="J794" i="2"/>
  <c r="J762" i="2"/>
  <c r="J722" i="2"/>
  <c r="J2" i="2"/>
  <c r="J632" i="2"/>
  <c r="J624" i="2"/>
  <c r="J616" i="2"/>
  <c r="J608" i="2"/>
  <c r="J600" i="2"/>
  <c r="J592" i="2"/>
  <c r="J584" i="2"/>
  <c r="J576" i="2"/>
  <c r="J568" i="2"/>
  <c r="J560" i="2"/>
  <c r="J552" i="2"/>
  <c r="J544" i="2"/>
  <c r="J536" i="2"/>
  <c r="J528" i="2"/>
  <c r="J520" i="2"/>
  <c r="J512" i="2"/>
  <c r="J504" i="2"/>
  <c r="J496" i="2"/>
  <c r="J488" i="2"/>
  <c r="J480" i="2"/>
  <c r="J472" i="2"/>
  <c r="J464" i="2"/>
  <c r="J456" i="2"/>
  <c r="J448" i="2"/>
  <c r="J440" i="2"/>
  <c r="J432" i="2"/>
  <c r="J424" i="2"/>
  <c r="J416" i="2"/>
  <c r="J408" i="2"/>
  <c r="J400" i="2"/>
  <c r="J392" i="2"/>
  <c r="J384" i="2"/>
  <c r="J376" i="2"/>
  <c r="J368" i="2"/>
  <c r="J360" i="2"/>
  <c r="J352" i="2"/>
  <c r="J344" i="2"/>
  <c r="J336" i="2"/>
  <c r="J328" i="2"/>
  <c r="J320" i="2"/>
  <c r="J312" i="2"/>
  <c r="J304" i="2"/>
  <c r="J296" i="2"/>
  <c r="J288" i="2"/>
  <c r="J280" i="2"/>
  <c r="J272" i="2"/>
  <c r="J264" i="2"/>
  <c r="J256" i="2"/>
  <c r="J248" i="2"/>
  <c r="J240" i="2"/>
  <c r="J232" i="2"/>
  <c r="J224" i="2"/>
  <c r="J216" i="2"/>
  <c r="J208" i="2"/>
  <c r="J200" i="2"/>
  <c r="J192" i="2"/>
  <c r="J184" i="2"/>
  <c r="J176" i="2"/>
  <c r="J168" i="2"/>
  <c r="J160" i="2"/>
  <c r="J152" i="2"/>
  <c r="J144" i="2"/>
  <c r="J136" i="2"/>
  <c r="J128" i="2"/>
  <c r="J120" i="2"/>
  <c r="J112" i="2"/>
  <c r="J104" i="2"/>
  <c r="J96" i="2"/>
  <c r="J88" i="2"/>
  <c r="J910" i="2"/>
  <c r="J902" i="2"/>
  <c r="J894" i="2"/>
  <c r="J886" i="2"/>
  <c r="J878" i="2"/>
  <c r="J870" i="2"/>
  <c r="J862" i="2"/>
  <c r="J854" i="2"/>
  <c r="J846" i="2"/>
  <c r="J838" i="2"/>
  <c r="J830" i="2"/>
  <c r="J822" i="2"/>
  <c r="J814" i="2"/>
  <c r="J806" i="2"/>
  <c r="J710" i="2"/>
  <c r="J646" i="2"/>
  <c r="J606" i="2"/>
  <c r="J542" i="2"/>
  <c r="J478" i="2"/>
  <c r="J414" i="2"/>
  <c r="J350" i="2"/>
  <c r="J1222" i="2"/>
  <c r="J1214" i="2"/>
  <c r="J1206" i="2"/>
  <c r="J1198" i="2"/>
  <c r="J1190" i="2"/>
  <c r="J1182" i="2"/>
  <c r="J1174" i="2"/>
  <c r="J1166" i="2"/>
  <c r="J1158" i="2"/>
  <c r="J1150" i="2"/>
  <c r="J1142" i="2"/>
  <c r="J1134" i="2"/>
  <c r="J1126" i="2"/>
  <c r="J1118" i="2"/>
  <c r="J1110" i="2"/>
  <c r="J1102" i="2"/>
  <c r="J1094" i="2"/>
  <c r="J1086" i="2"/>
  <c r="J1078" i="2"/>
  <c r="J1070" i="2"/>
  <c r="J1062" i="2"/>
  <c r="J1054" i="2"/>
  <c r="J1046" i="2"/>
  <c r="J1038" i="2"/>
  <c r="J1030" i="2"/>
  <c r="J1022" i="2"/>
  <c r="J1014" i="2"/>
  <c r="J1006" i="2"/>
  <c r="J998" i="2"/>
  <c r="J990" i="2"/>
  <c r="J982" i="2"/>
  <c r="J974" i="2"/>
  <c r="J966" i="2"/>
  <c r="J958" i="2"/>
  <c r="J950" i="2"/>
  <c r="J942" i="2"/>
  <c r="J934" i="2"/>
  <c r="J926" i="2"/>
  <c r="J918" i="2"/>
  <c r="J798" i="2"/>
  <c r="J790" i="2"/>
  <c r="J782" i="2"/>
  <c r="J774" i="2"/>
  <c r="J766" i="2"/>
  <c r="J758" i="2"/>
  <c r="J750" i="2"/>
  <c r="J742" i="2"/>
  <c r="J734" i="2"/>
  <c r="J726" i="2"/>
  <c r="J718" i="2"/>
  <c r="J702" i="2"/>
  <c r="J694" i="2"/>
  <c r="J686" i="2"/>
  <c r="J678" i="2"/>
  <c r="J670" i="2"/>
  <c r="J662" i="2"/>
  <c r="J654" i="2"/>
  <c r="J638" i="2"/>
  <c r="J630" i="2"/>
  <c r="J622" i="2"/>
  <c r="J614" i="2"/>
  <c r="J598" i="2"/>
  <c r="J590" i="2"/>
  <c r="J582" i="2"/>
  <c r="J574" i="2"/>
  <c r="J566" i="2"/>
  <c r="J558" i="2"/>
  <c r="J550" i="2"/>
  <c r="J534" i="2"/>
  <c r="J526" i="2"/>
  <c r="J518" i="2"/>
  <c r="J510" i="2"/>
  <c r="J502" i="2"/>
  <c r="J494" i="2"/>
  <c r="J486" i="2"/>
  <c r="J470" i="2"/>
  <c r="J462" i="2"/>
  <c r="J454" i="2"/>
  <c r="J446" i="2"/>
  <c r="J438" i="2"/>
  <c r="J430" i="2"/>
  <c r="J422" i="2"/>
  <c r="J406" i="2"/>
  <c r="J398" i="2"/>
  <c r="J390" i="2"/>
  <c r="J382" i="2"/>
  <c r="J374" i="2"/>
  <c r="J366" i="2"/>
  <c r="J358" i="2"/>
  <c r="J342" i="2"/>
  <c r="J334" i="2"/>
  <c r="J326" i="2"/>
  <c r="J318" i="2"/>
  <c r="J310" i="2"/>
  <c r="J302" i="2"/>
  <c r="J294" i="2"/>
  <c r="J286" i="2"/>
  <c r="J278" i="2"/>
  <c r="J270" i="2"/>
  <c r="J262" i="2"/>
  <c r="J254" i="2"/>
  <c r="J246" i="2"/>
  <c r="J238" i="2"/>
  <c r="J230" i="2"/>
  <c r="J222" i="2"/>
  <c r="J214" i="2"/>
  <c r="J206" i="2"/>
  <c r="J198" i="2"/>
  <c r="J190" i="2"/>
  <c r="J182" i="2"/>
  <c r="J174" i="2"/>
  <c r="J166" i="2"/>
  <c r="J158" i="2"/>
  <c r="J150" i="2"/>
  <c r="J142" i="2"/>
  <c r="J134" i="2"/>
  <c r="J126" i="2"/>
  <c r="J118" i="2"/>
  <c r="J110" i="2"/>
  <c r="J102" i="2"/>
  <c r="J94" i="2"/>
  <c r="J86" i="2"/>
  <c r="J78" i="2"/>
  <c r="J70" i="2"/>
  <c r="J62" i="2"/>
  <c r="J54" i="2"/>
  <c r="J46" i="2"/>
  <c r="J38" i="2"/>
  <c r="J30" i="2"/>
  <c r="J22" i="2"/>
  <c r="J14" i="2"/>
  <c r="J6" i="2"/>
  <c r="J611" i="2"/>
  <c r="J603" i="2"/>
  <c r="J595" i="2"/>
  <c r="J587" i="2"/>
  <c r="J579" i="2"/>
  <c r="J571" i="2"/>
  <c r="J563" i="2"/>
  <c r="J555" i="2"/>
  <c r="J547" i="2"/>
  <c r="J539" i="2"/>
  <c r="J531" i="2"/>
  <c r="J523" i="2"/>
  <c r="J515" i="2"/>
  <c r="J507" i="2"/>
  <c r="J499" i="2"/>
  <c r="J491" i="2"/>
  <c r="J483" i="2"/>
  <c r="J475" i="2"/>
  <c r="J467" i="2"/>
  <c r="J459" i="2"/>
  <c r="J451" i="2"/>
  <c r="J443" i="2"/>
  <c r="J435" i="2"/>
  <c r="J427" i="2"/>
  <c r="J419" i="2"/>
  <c r="J411" i="2"/>
  <c r="J403" i="2"/>
  <c r="J395" i="2"/>
  <c r="J387" i="2"/>
  <c r="J379" i="2"/>
  <c r="J371" i="2"/>
  <c r="J363" i="2"/>
  <c r="J355" i="2"/>
  <c r="J347" i="2"/>
  <c r="J339" i="2"/>
  <c r="J331" i="2"/>
  <c r="J323" i="2"/>
  <c r="J315" i="2"/>
  <c r="J307" i="2"/>
  <c r="J299" i="2"/>
  <c r="J291" i="2"/>
  <c r="J283" i="2"/>
  <c r="J275" i="2"/>
  <c r="J267" i="2"/>
  <c r="J259" i="2"/>
  <c r="J251" i="2"/>
  <c r="J243" i="2"/>
  <c r="J235" i="2"/>
  <c r="J227" i="2"/>
  <c r="J219" i="2"/>
  <c r="J211" i="2"/>
  <c r="J203" i="2"/>
  <c r="J195" i="2"/>
  <c r="J187" i="2"/>
  <c r="J179" i="2"/>
  <c r="J171" i="2"/>
  <c r="J163" i="2"/>
  <c r="J155" i="2"/>
  <c r="J147" i="2"/>
  <c r="J139" i="2"/>
  <c r="J131" i="2"/>
  <c r="J123" i="2"/>
  <c r="J115" i="2"/>
  <c r="J107" i="2"/>
  <c r="J99" i="2"/>
  <c r="J91" i="2"/>
  <c r="J83" i="2"/>
  <c r="J74" i="2"/>
  <c r="J66" i="2"/>
  <c r="J58" i="2"/>
  <c r="J50" i="2"/>
  <c r="J42" i="2"/>
  <c r="J34" i="2"/>
  <c r="J26" i="2"/>
  <c r="J18" i="2"/>
  <c r="J10" i="2"/>
  <c r="J73" i="2"/>
  <c r="J65" i="2"/>
  <c r="J57" i="2"/>
  <c r="J49" i="2"/>
  <c r="J41" i="2"/>
  <c r="J33" i="2"/>
  <c r="J25" i="2"/>
  <c r="J17" i="2"/>
  <c r="J9" i="2"/>
  <c r="J80" i="2"/>
  <c r="J72" i="2"/>
  <c r="J64" i="2"/>
  <c r="J56" i="2"/>
  <c r="J48" i="2"/>
  <c r="J40" i="2"/>
  <c r="J32" i="2"/>
  <c r="J24" i="2"/>
  <c r="J16" i="2"/>
  <c r="J8" i="2"/>
  <c r="J79" i="2"/>
  <c r="J71" i="2"/>
  <c r="J63" i="2"/>
  <c r="J55" i="2"/>
  <c r="J47" i="2"/>
  <c r="J39" i="2"/>
  <c r="J31" i="2"/>
  <c r="J23" i="2"/>
  <c r="J15" i="2"/>
  <c r="J7" i="2"/>
  <c r="J77" i="2"/>
  <c r="J69" i="2"/>
  <c r="J61" i="2"/>
  <c r="J53" i="2"/>
  <c r="J45" i="2"/>
  <c r="J37" i="2"/>
  <c r="J29" i="2"/>
  <c r="J21" i="2"/>
  <c r="J13" i="2"/>
  <c r="J5" i="2"/>
  <c r="J76" i="2"/>
  <c r="J68" i="2"/>
  <c r="J60" i="2"/>
  <c r="J52" i="2"/>
  <c r="J44" i="2"/>
  <c r="J36" i="2"/>
  <c r="J28" i="2"/>
  <c r="J20" i="2"/>
  <c r="J12" i="2"/>
  <c r="J4" i="2"/>
  <c r="J75" i="2"/>
  <c r="J67" i="2"/>
  <c r="J59" i="2"/>
  <c r="J51" i="2"/>
  <c r="J43" i="2"/>
  <c r="J35" i="2"/>
  <c r="J27" i="2"/>
  <c r="J19" i="2"/>
  <c r="J11" i="2"/>
  <c r="J3" i="2"/>
</calcChain>
</file>

<file path=xl/sharedStrings.xml><?xml version="1.0" encoding="utf-8"?>
<sst xmlns="http://schemas.openxmlformats.org/spreadsheetml/2006/main" count="9395" uniqueCount="2451">
  <si>
    <t>wine_id</t>
  </si>
  <si>
    <t>full_wine_name</t>
  </si>
  <si>
    <t>vintage</t>
  </si>
  <si>
    <t>format</t>
  </si>
  <si>
    <t>wine_type</t>
  </si>
  <si>
    <t>country</t>
  </si>
  <si>
    <t>region</t>
  </si>
  <si>
    <t>sub_region</t>
  </si>
  <si>
    <t>grapes</t>
  </si>
  <si>
    <t>abv</t>
  </si>
  <si>
    <t>price_ref</t>
  </si>
  <si>
    <t>ranking</t>
  </si>
  <si>
    <t>rating</t>
  </si>
  <si>
    <t>winery</t>
  </si>
  <si>
    <t>winery_stories</t>
  </si>
  <si>
    <t>winemaker</t>
  </si>
  <si>
    <t>winemaker_stories</t>
  </si>
  <si>
    <t>sweetness</t>
  </si>
  <si>
    <t>body</t>
  </si>
  <si>
    <t>acidity</t>
  </si>
  <si>
    <t>tannins</t>
  </si>
  <si>
    <t>primary</t>
  </si>
  <si>
    <t>secondary</t>
  </si>
  <si>
    <t>tertiary</t>
  </si>
  <si>
    <t>label</t>
  </si>
  <si>
    <t>name_story</t>
  </si>
  <si>
    <t>production_volume</t>
  </si>
  <si>
    <t>recognition</t>
  </si>
  <si>
    <t>S000001</t>
  </si>
  <si>
    <t>Domaine A.F. Gros Clos-de-Vougeot Grand Cru</t>
  </si>
  <si>
    <t>2022</t>
  </si>
  <si>
    <t>750ml</t>
  </si>
  <si>
    <t>Red</t>
  </si>
  <si>
    <t>France</t>
  </si>
  <si>
    <t>Burgundy</t>
  </si>
  <si>
    <t>Vougeot</t>
  </si>
  <si>
    <t>Pinot Noir</t>
  </si>
  <si>
    <t>13.5</t>
  </si>
  <si>
    <t>2720.00</t>
  </si>
  <si>
    <t>Grand Cru</t>
  </si>
  <si>
    <t>4.8</t>
  </si>
  <si>
    <t>A.F. Gros</t>
  </si>
  <si>
    <t xml:space="preserve">A.F. Gros is a prestigious Burgundy domaine with deep roots in the Côte de Nuits, renowned for its meticulous vineyard management and traditional winemaking. The estate is celebrated for its holdings </t>
  </si>
  <si>
    <t>Caroline Parent-Gros</t>
  </si>
  <si>
    <t>Caroline Parent-Gros, the talented winemaker at A.F. Gros, brings a blend of tradition and innovation to her craft. Raised in a family of legendary Burgundian vintners, she is known for her precise, t</t>
  </si>
  <si>
    <t>Dry</t>
  </si>
  <si>
    <t>Medium</t>
  </si>
  <si>
    <t>High</t>
  </si>
  <si>
    <t>red cherry, raspberry, violet</t>
  </si>
  <si>
    <t>oak, spice, earth</t>
  </si>
  <si>
    <t>truffle, forest floor, leather</t>
  </si>
  <si>
    <t>The label of A.F. Gros Clos de Vougeot Grand Cru is classic and elegant, featuring a cream-colored background with refined black and gold typography. The domaine’s crest is prominently displayed at th</t>
  </si>
  <si>
    <t>Cantonese: 葛羅酒莊 Clos means a walled vineyard in French, Vougeot refers to the historic Grand Cru site in Burgundy, A.F. Gros is the family domaine known for the traditional craftsmanship.</t>
  </si>
  <si>
    <t>Scarce</t>
  </si>
  <si>
    <t>S000002</t>
  </si>
  <si>
    <t>Domaine A.F. Gros Moulin-a-Vent en Montperay</t>
  </si>
  <si>
    <t>2021</t>
  </si>
  <si>
    <t>Beaujolais</t>
  </si>
  <si>
    <t>Moulin-à-Vent</t>
  </si>
  <si>
    <t>Gamay</t>
  </si>
  <si>
    <t>13.0%</t>
  </si>
  <si>
    <t>260.00</t>
  </si>
  <si>
    <t>4.9</t>
  </si>
  <si>
    <t>A.F. Gros is a renowned Burgundy producer with deep roots in the region, known for crafting expressive wines that reflect their unique terroir. The estate combines traditional winemaking techniques with a commitment to sustainable viticulture. Their Moulin-à-Vent wines are celebrated for their elegance, structure, and ability to age gracefully. The family's dedication to quality and authenticity has earned them a respected place among Burgundy's elite producers.</t>
  </si>
  <si>
    <t>Caroline Parent-Gros brings a modern sensibility to her family's historic domaine, blending tradition with innovation. Her meticulous attention to detail and passion for expressing terroir have garnered critical acclaim. Caroline's approach emphasizes minimal intervention and respect for the vineyard, resulting in wines of purity and finesse.</t>
  </si>
  <si>
    <t>Medium-High</t>
  </si>
  <si>
    <t>spice, earth, mineral</t>
  </si>
  <si>
    <t>leather, forest floor</t>
  </si>
  <si>
    <t>The label features a classic cream background with elegant black serif typography, accented by gold foil detailing. A subtle illustration of the Moulin-à-Vent windmill sits above the estate name, lending a sense of place and tradition. The layout is balanced and refined, with the vintage and appellation clearly displayed. The overall design exudes sophistication and heritage, making the bottle instantly recognizable.</t>
  </si>
  <si>
    <t>Cantonese: 葛羅酒莊 風車磨坊 莫佩雷紅酒 A.F. Gros is a renowned Burgundy family estate, Moulin-à-Vent is a Beaujolais cru named for its iconic windmill, Mortperay likely refers to a specific vineyard site within the appellation.</t>
  </si>
  <si>
    <t>Common</t>
  </si>
  <si>
    <t>RP 92</t>
  </si>
  <si>
    <t>S000003</t>
  </si>
  <si>
    <t>4.6</t>
  </si>
  <si>
    <t>A.F. Gros is a renowned Burgundy producer with deep roots in the region, known for crafting expressive wines that reflect the unique terroir of each vineyard. The estate combines traditional winemaking techniques with a commitment to sustainable viticulture, resulting in wines of elegance and complexity. Their Moulin-à-Vent bottlings are celebrated for their depth, structure, and ability to age gracefully, standing out among Beaujolais crus.</t>
  </si>
  <si>
    <t>Caroline Parent-Gros brings a wealth of experience and a modern touch to the family domaine, blending tradition with innovation. Her meticulous attention to detail and passion for expressing terroir have earned her acclaim among Burgundy and Beaujolais enthusiasts. Caroline's approach emphasizes minimal intervention and respect for the vineyard, resulting in wines of purity and finesse.</t>
  </si>
  <si>
    <t>The label features a classic cream background with elegant black serif typography, accented by gold foil detailing that highlights the winery name. A subtle illustration of the Moulin-à-Vent windmill is centered, lending a sense of place and tradition. The layout is balanced and refined, with vintage and appellation clearly displayed, and the use of textured paper adds a tactile, artisanal feel.</t>
  </si>
  <si>
    <t>Cantonese: 葛羅酒莊 風車磨坊 莫佩雷紅酒 Moulin-à-Vent means windmill in French, named for the historic windmill landmark in the Beaujolais cru, Mortperay likely refers to a specific lieu-dit or vineyard site, A.F. Gros is a respected Burgundy family estate expanding into Beaujolais.</t>
  </si>
  <si>
    <t>RP 90</t>
  </si>
  <si>
    <t>S000004</t>
  </si>
  <si>
    <t>Domaine A.F. Gros Richebourg Grand Cru</t>
  </si>
  <si>
    <t>2019</t>
  </si>
  <si>
    <t>Vosne-Romanée</t>
  </si>
  <si>
    <t>13.5%</t>
  </si>
  <si>
    <t>7660.00</t>
  </si>
  <si>
    <t>4.7</t>
  </si>
  <si>
    <t>A.F. Gros is a prestigious Burgundy estate with deep roots in the Côte de Nuits, renowned for its meticulous vineyard management and traditional winemaking. The domaine is celebrated for its holdings in some of the region’s most esteemed Grand Cru vineyards, including Richebourg. Their philosophy centers on expressing the unique terroir of each parcel, resulting in wines of remarkable finesse and complexity. The estate’s commitment to quality and authenticity has earned it a revered place among Burgundy’s elite producers.</t>
  </si>
  <si>
    <t>Caroline Parent-Gros brings a modern yet respectful approach to the family’s winemaking legacy, blending innovation with tradition. Her dedication to sustainable viticulture and minimal intervention in the cellar allows the purity of the fruit and terroir to shine. Caroline’s expertise and passion have garnered critical acclaim, making her one of Burgundy’s most respected winemakers.</t>
  </si>
  <si>
    <t>The label features a classic, elegant design with a cream background and bold, serif black typography. The estate’s crest is prominently displayed in gold and red, adding a touch of heritage and prestige. Subtle burgundy accents frame the label, while the Grand Cru designation is highlighted in refined script. The overall presentation exudes sophistication and tradition, making it instantly recognizable to collectors and enthusiasts.</t>
  </si>
  <si>
    <t>Cantonese: 葛羅酒莊 Richebourg means 'rich village' in French, Grand Cru signals the highest Burgundy classification, A.F. Gros refers to the Gros family, a respected Burgundy winemaking lineage.</t>
  </si>
  <si>
    <t>Very limited</t>
  </si>
  <si>
    <t>S000005</t>
  </si>
  <si>
    <t>2020</t>
  </si>
  <si>
    <t>S000006</t>
  </si>
  <si>
    <t>4.5</t>
  </si>
  <si>
    <t>S000007</t>
  </si>
  <si>
    <t>Domaine A.F. Gros Vosne-Romanée 'Aux Reas'</t>
  </si>
  <si>
    <t>S000008</t>
  </si>
  <si>
    <t>Chateau Angelus Saint-Émilion Premier Grand Cru Classé</t>
  </si>
  <si>
    <t>S000009</t>
  </si>
  <si>
    <t>Domaine Anne Gros Echezeaux 'Les Loachausses' Grand Cru</t>
  </si>
  <si>
    <t>S000010</t>
  </si>
  <si>
    <t>Antoine Chevalier 'Carkonnia' Blanc de Blancs Extra Brut Millesime</t>
  </si>
  <si>
    <t>12.0%</t>
  </si>
  <si>
    <t>Light</t>
  </si>
  <si>
    <t>Low</t>
  </si>
  <si>
    <t>Extremely rare</t>
  </si>
  <si>
    <t>S000011</t>
  </si>
  <si>
    <t>Antoine Chevalier 'Tecta Silva' Blanc de Blancs Extra Brut</t>
  </si>
  <si>
    <t>S000012</t>
  </si>
  <si>
    <t>Domaine Arlaud Charmes-Chambertin Grand Cru</t>
  </si>
  <si>
    <t>2013</t>
  </si>
  <si>
    <t>S000013</t>
  </si>
  <si>
    <t>Domaine Arlaud Morey-Saint-Denis</t>
  </si>
  <si>
    <t>2014</t>
  </si>
  <si>
    <t>S000014</t>
  </si>
  <si>
    <t>Domaine Armand Rousseau Pere et Fils Gevrey-Chambertin 'Clos Saint-Jacques' Premier Cru</t>
  </si>
  <si>
    <t>S000015</t>
  </si>
  <si>
    <t>2018</t>
  </si>
  <si>
    <t>S000016</t>
  </si>
  <si>
    <t>Domaine Armand Rousseau Pere et Fils Chambertin Clos-de-Beze Grand Cru</t>
  </si>
  <si>
    <t>2001</t>
  </si>
  <si>
    <t>S000017</t>
  </si>
  <si>
    <t>2006</t>
  </si>
  <si>
    <t>S000018</t>
  </si>
  <si>
    <t>2008</t>
  </si>
  <si>
    <t>S000019</t>
  </si>
  <si>
    <t>2009</t>
  </si>
  <si>
    <t>S000020</t>
  </si>
  <si>
    <t>2016</t>
  </si>
  <si>
    <t>S000021</t>
  </si>
  <si>
    <t>Domaine Armand Rousseau Pere et Fils Chambertin Grand Cru</t>
  </si>
  <si>
    <t>S000022</t>
  </si>
  <si>
    <t>2007</t>
  </si>
  <si>
    <t>S000023</t>
  </si>
  <si>
    <t>S000024</t>
  </si>
  <si>
    <t>S000025</t>
  </si>
  <si>
    <t>2017</t>
  </si>
  <si>
    <t>S000026</t>
  </si>
  <si>
    <t>2010</t>
  </si>
  <si>
    <t>S000027</t>
  </si>
  <si>
    <t>Armand Vincenot Clos de la Roche Gand Cru</t>
  </si>
  <si>
    <t>S000028</t>
  </si>
  <si>
    <t>Arnaud Moreau 'Cuvee Arrakis' Brut Zero Grand Cru</t>
  </si>
  <si>
    <t>NV</t>
  </si>
  <si>
    <t>S000029</t>
  </si>
  <si>
    <t>Arnaud Moreau 'Cuvee Erynn' Blanc de Blanc Grand Cru</t>
  </si>
  <si>
    <t>S000030</t>
  </si>
  <si>
    <t>Arnaud Moreau 'Cuvee Odyssee' Brut Zero Grand Cru</t>
  </si>
  <si>
    <t>S000031</t>
  </si>
  <si>
    <t>Arnaud Moreau 'Cuvee Phoenix' Blanc de Noirs Extra Brut Grand Cru</t>
  </si>
  <si>
    <t>S000032</t>
  </si>
  <si>
    <t>Arnaud Moreau 'Cuvee Reserve' Grand Cru</t>
  </si>
  <si>
    <t>S000033</t>
  </si>
  <si>
    <t>Aurelien Verdet Bourgogne Hautes Cotes de Nuits 'Le Prieure'</t>
  </si>
  <si>
    <t>S000034</t>
  </si>
  <si>
    <t>S000035</t>
  </si>
  <si>
    <t>Aurelien Verdet Chambolle-Musigny</t>
  </si>
  <si>
    <t>S000036</t>
  </si>
  <si>
    <t>Aurelien Verdet Gevrey-Chambertin</t>
  </si>
  <si>
    <t>S000037</t>
  </si>
  <si>
    <t>Aurelien Verdet Marsannay 'Champs Perdrix'</t>
  </si>
  <si>
    <t>S000038</t>
  </si>
  <si>
    <t>Aurelien Verdet Nuits-Saint-Georges</t>
  </si>
  <si>
    <t>S000039</t>
  </si>
  <si>
    <t>Aurelien Verdet Nuits-Saint-Georges 'Les Damodes' Premier Cru</t>
  </si>
  <si>
    <t>S000040</t>
  </si>
  <si>
    <t>Aurelien Verdet Vosne-Romanée Vieilles Vignes</t>
  </si>
  <si>
    <t>S000041</t>
  </si>
  <si>
    <t>Luis Felipe Edwards 'Autoritas' Private Collection</t>
  </si>
  <si>
    <t>S000042</t>
  </si>
  <si>
    <t>Domaine Ballot-Millot Meursault Rouge</t>
  </si>
  <si>
    <t>2012</t>
  </si>
  <si>
    <t>380.00</t>
  </si>
  <si>
    <t>S000043</t>
  </si>
  <si>
    <t>Chateau Beau-Sejour Becot Saint-Émilion Premier Grand Cru Classé</t>
  </si>
  <si>
    <t>S000044</t>
  </si>
  <si>
    <t>Chateau de Beaucastel Chateauneuf-du-Pape</t>
  </si>
  <si>
    <t>2003</t>
  </si>
  <si>
    <t>S000045</t>
  </si>
  <si>
    <t>Domaine Armelle et Bernard Rion Bourgogne Blanc Vieilles Vigne</t>
  </si>
  <si>
    <t>White</t>
  </si>
  <si>
    <t>250.00</t>
  </si>
  <si>
    <t>S000046</t>
  </si>
  <si>
    <t>Domaine Armelle et Bernard Rion Bourgogne Cote d'Or</t>
  </si>
  <si>
    <t>S000047</t>
  </si>
  <si>
    <t>Domaine Armelle et Bernard Rion Bourgogne 'La Croix Blanche' Vieilles Vignes</t>
  </si>
  <si>
    <t>S000048</t>
  </si>
  <si>
    <t>Domaine Armelle et Bernard Rion Morey-Saint-Denis 'Les Gruenchers' Premier Cru</t>
  </si>
  <si>
    <t>S000049</t>
  </si>
  <si>
    <t>S000050</t>
  </si>
  <si>
    <t>Domaine Armelle et Bernard Rion Chambolle-Musigny 'Les Echezeaux' Vieilles Vignes</t>
  </si>
  <si>
    <t>S000051</t>
  </si>
  <si>
    <t>S000052</t>
  </si>
  <si>
    <t>S000053</t>
  </si>
  <si>
    <t>Domaine Armelle et Bernard Rion Chassagne-Montrachet 'En Pimont'</t>
  </si>
  <si>
    <t>S000054</t>
  </si>
  <si>
    <t>Domaine Armelle et Bernard Rion Chorey-les-Beaune</t>
  </si>
  <si>
    <t>S000055</t>
  </si>
  <si>
    <t>Domaine Armelle et Bernard Rion Marsannay 'En Sampagny'</t>
  </si>
  <si>
    <t>S000056</t>
  </si>
  <si>
    <t>Domaine Armelle et Bernard Rion Nuits-Saint-Georges 'Dame Marguerite' Vieilles Vignes</t>
  </si>
  <si>
    <t>S000057</t>
  </si>
  <si>
    <t>Domaine Armelle et Bernard Rion Savigny-lès-Beaune 'Dessus Vermot' Blanc</t>
  </si>
  <si>
    <t>S000058</t>
  </si>
  <si>
    <t>Domaine Armelle et Bernard Rion Volnay Vieilles Vignes</t>
  </si>
  <si>
    <t>S000059</t>
  </si>
  <si>
    <t>Domaine Armelle et Bernard Rion Vosne-Romanée 'Les Chaumes' Vieilles Vignes</t>
  </si>
  <si>
    <t>S000060</t>
  </si>
  <si>
    <t>S000061</t>
  </si>
  <si>
    <t>Domaine Armelle et Bernard Rion Vosne-Romanée 'Dame Juliette' Vieilles Vignes</t>
  </si>
  <si>
    <t>S000062</t>
  </si>
  <si>
    <t>Domaine Berthaut-Gerbet Cote de Nuits-Villages</t>
  </si>
  <si>
    <t>S000063</t>
  </si>
  <si>
    <t>Domaine Berthaut-Gerbet Vosne-Romanée</t>
  </si>
  <si>
    <t>S000064</t>
  </si>
  <si>
    <t>Big Sky Gruner Veltliner</t>
  </si>
  <si>
    <t>New Zealand</t>
  </si>
  <si>
    <t>S000065</t>
  </si>
  <si>
    <t>Big Sky 'Provenance' Pinot Noir</t>
  </si>
  <si>
    <t>S000066</t>
  </si>
  <si>
    <t>Big Sky 'Te Muna Road' Pinot Noir</t>
  </si>
  <si>
    <t>2015</t>
  </si>
  <si>
    <t>S000067</t>
  </si>
  <si>
    <t>BiNaume La Plante d'a Cote</t>
  </si>
  <si>
    <t>S000068</t>
  </si>
  <si>
    <t>Domaine Boigey Freres Bourgogne Rouge</t>
  </si>
  <si>
    <t>S000069</t>
  </si>
  <si>
    <t>Domaine Boigey Freres Nuits-Saint-Georges 'Les Damodes' Premier Cru</t>
  </si>
  <si>
    <t>S000070</t>
  </si>
  <si>
    <t>Domaine Boursot Pere &amp; Fils Chambolle-Musigny 'Les Fuees' Premier Cru</t>
  </si>
  <si>
    <t>S000071</t>
  </si>
  <si>
    <t>Domaine Boursot Pere &amp; Fils Chambolle-Musigny 'Les Nazoires'</t>
  </si>
  <si>
    <t>S000072</t>
  </si>
  <si>
    <t>Domaine Bruno Clair Aloxe-Corton</t>
  </si>
  <si>
    <t>S000073</t>
  </si>
  <si>
    <t>Domaine Bruno Clair Chambertin-Clos-de-Beze Grand Cru</t>
  </si>
  <si>
    <t>S000074</t>
  </si>
  <si>
    <t>Domaine Bruno Clair Vosne-Romanée 'Les Champs Perdrix'</t>
  </si>
  <si>
    <t>2011</t>
  </si>
  <si>
    <t>S000075</t>
  </si>
  <si>
    <t>Domaine Bruno Clavelier Vosne-Romanée 'Les Beaux Monts' Vieilles Vignes Premier Cru</t>
  </si>
  <si>
    <t>S000076</t>
  </si>
  <si>
    <t>Bruno Giacosa 'Collina Rionda' Barolo DOCG</t>
  </si>
  <si>
    <t>1993</t>
  </si>
  <si>
    <t>S000077</t>
  </si>
  <si>
    <t>Château Faugères 'Calice de Faugères'</t>
  </si>
  <si>
    <t>S000078</t>
  </si>
  <si>
    <t>S000079</t>
  </si>
  <si>
    <t>Domaine Camille Giroud Chambertin Grand Cru</t>
  </si>
  <si>
    <t>S000082</t>
  </si>
  <si>
    <t>Domaine Caroline Morey Chassagne-Montrachet Rouge</t>
  </si>
  <si>
    <t>S000083</t>
  </si>
  <si>
    <t>Domaine Caroline Morey Criots-Batard-Montrachet Grand Cru</t>
  </si>
  <si>
    <t>S000084</t>
  </si>
  <si>
    <t>Caroline Parent Beaune 'Les Boucherottes' Rouge Premier Cru</t>
  </si>
  <si>
    <t>S000085</t>
  </si>
  <si>
    <t>Caroline Parent Chambolle-Musigny 'Les Fuees' Premier Cru</t>
  </si>
  <si>
    <t>S000086</t>
  </si>
  <si>
    <t>Caroline Parent Clos-de-Vougeot Grand Cru</t>
  </si>
  <si>
    <t>S000087</t>
  </si>
  <si>
    <t>Caroline Parent Gevrey-Chambertin</t>
  </si>
  <si>
    <t>S000088</t>
  </si>
  <si>
    <t>S000089</t>
  </si>
  <si>
    <t>Caroline Parent Bourgogne Hautes-Côtes de Nuits</t>
  </si>
  <si>
    <t>S000090</t>
  </si>
  <si>
    <t>Caroline Parent Bourgogne Hautes-Côtes de Nuits Blanc</t>
  </si>
  <si>
    <t>S000091</t>
  </si>
  <si>
    <t>Caroline Parent Nuits-Saint-Georges</t>
  </si>
  <si>
    <t>S000092</t>
  </si>
  <si>
    <t>Caroline Parent Vosne Romanee 'Les Beaumonts' Premier Cru</t>
  </si>
  <si>
    <t>S000093</t>
  </si>
  <si>
    <t>Castello delle Regine Merlot Umbria IGT</t>
  </si>
  <si>
    <t>2005</t>
  </si>
  <si>
    <t>S000094</t>
  </si>
  <si>
    <t>Castello di Querceto 'Cignale' Colli della Toscana Centrale IGT</t>
  </si>
  <si>
    <t>1989</t>
  </si>
  <si>
    <t>S000095</t>
  </si>
  <si>
    <t>Rayas Château des Tours Côtes-du-Rhône Grande Réserve Blanc</t>
  </si>
  <si>
    <t>S000096</t>
  </si>
  <si>
    <t>Domaine Charles Van Canneyt Gevrey-Chambertin</t>
  </si>
  <si>
    <t>S000097</t>
  </si>
  <si>
    <t>Domaine Charles Van Canneyt Morey-Saint-Denis 'Les Sorbets' Premier Cru</t>
  </si>
  <si>
    <t>S000098</t>
  </si>
  <si>
    <t>Domaine Charlopin Tissier Vosne-Romanée</t>
  </si>
  <si>
    <t>S000099</t>
  </si>
  <si>
    <t>Domaine Chateau de Charodon Beaune 'Les Chouacheux' Premier Cru</t>
  </si>
  <si>
    <t>S000100</t>
  </si>
  <si>
    <t>S000101</t>
  </si>
  <si>
    <t>2023</t>
  </si>
  <si>
    <t>S000102</t>
  </si>
  <si>
    <t>Domaine Chateau de Charodon Bourgogne Chardonnay</t>
  </si>
  <si>
    <t>S000103</t>
  </si>
  <si>
    <t>Domaine Chateau de Charodon Bourgogne</t>
  </si>
  <si>
    <t>S000104</t>
  </si>
  <si>
    <t>Domaine Chateau de Charodon Chambolle-Musigny 'Les Feusselottes' Premier Cru</t>
  </si>
  <si>
    <t>S000105</t>
  </si>
  <si>
    <t>Domaine Chateau de Charodon Charmes-Chambertin Grand Cru</t>
  </si>
  <si>
    <t>S000106</t>
  </si>
  <si>
    <t>Domaine Chateau de Charodon Corton-Charlemagne Grand Cru</t>
  </si>
  <si>
    <t>S000107</t>
  </si>
  <si>
    <t>Domaine Chateau de Charodon Corton 'Les Renardes' Grand Cru Rouge</t>
  </si>
  <si>
    <t>S000108</t>
  </si>
  <si>
    <t>S000109</t>
  </si>
  <si>
    <t>Domaine Chateau de Charodon Côte de Nuits-Villages Rouge</t>
  </si>
  <si>
    <t>S000110</t>
  </si>
  <si>
    <t>Domaine Chateau de Charodon Fixin 'La Croix Blanche'</t>
  </si>
  <si>
    <t>S000111</t>
  </si>
  <si>
    <t>Domaine Chateau de Charodon Gevrey-Chambertin</t>
  </si>
  <si>
    <t>S000112</t>
  </si>
  <si>
    <t>Domaine Chateau de Charodon Gevrey-Chambertin 'Lavaux Saint-Jacques' Premier Cru</t>
  </si>
  <si>
    <t>S000113</t>
  </si>
  <si>
    <t>Domaine Chateau de Charodon Gevrey-Chambertin 'Les Champeaux' Premier Cru</t>
  </si>
  <si>
    <t>S000114</t>
  </si>
  <si>
    <t>Domaine Chateau de Charodon Meursault</t>
  </si>
  <si>
    <t>S000115</t>
  </si>
  <si>
    <t>Domaine Chateau de Charodon Meursault 'Blagny' Premier Cru</t>
  </si>
  <si>
    <t>S000116</t>
  </si>
  <si>
    <t>Domaine Chateau de Charodon Meursault 'Le Porusot' Premier Cru</t>
  </si>
  <si>
    <t>S000117</t>
  </si>
  <si>
    <t>Domaine Chateau de Charodon Meursault 'Chevalières'</t>
  </si>
  <si>
    <t>S000118</t>
  </si>
  <si>
    <t>Domaine Chateau de Charodon Pommard</t>
  </si>
  <si>
    <t>S000119</t>
  </si>
  <si>
    <t>S000120</t>
  </si>
  <si>
    <t>Domaine Chateau de Charodon Pommard 'Clos des Arvelets' Premier Cru</t>
  </si>
  <si>
    <t>S000121</t>
  </si>
  <si>
    <t>Domaine Chateau de Charodon Puligny-Montrachet</t>
  </si>
  <si>
    <t>S000122</t>
  </si>
  <si>
    <t>S000123</t>
  </si>
  <si>
    <t>Domaine Chateau de Charodon Puligny-Montrachet 'La Garenne' Premier Cru</t>
  </si>
  <si>
    <t>S000124</t>
  </si>
  <si>
    <t>Domaine Chateau de Charodon Saint-Aubin 'Les Frionnes' Premier Cru</t>
  </si>
  <si>
    <t>S000125</t>
  </si>
  <si>
    <t>S000126</t>
  </si>
  <si>
    <t>Domaine Chateau de Charodon Vosne-Romanée 'Les Suchots' Premier Cru</t>
  </si>
  <si>
    <t>S000127</t>
  </si>
  <si>
    <t>Domaine Chateau de Charodon Vougeots 'Les Petits Vougeots' Premier Cru</t>
  </si>
  <si>
    <t>S000128</t>
  </si>
  <si>
    <t>Château Batailley Pauillac</t>
  </si>
  <si>
    <t>S000129</t>
  </si>
  <si>
    <t>Château Chauvin Saint-Émilion Grand Cru</t>
  </si>
  <si>
    <t>S000130</t>
  </si>
  <si>
    <t>Domaine du Clos de Tart 'Clos de Tart' Grand Cru Monopole</t>
  </si>
  <si>
    <t>S000131</t>
  </si>
  <si>
    <t>Domaine du Clos de Tart Morey-Saint-Denis 'La Forge de Tart' Premier Cru</t>
  </si>
  <si>
    <t>2004</t>
  </si>
  <si>
    <t>S000132</t>
  </si>
  <si>
    <t>Le Clos du Caillou Châteauneuf-du-Pape 'La Réserve'</t>
  </si>
  <si>
    <t>S000133</t>
  </si>
  <si>
    <t>Le Clos du Caillou Châteauneuf-du-Pape 'Les Quartz'</t>
  </si>
  <si>
    <t>S000134</t>
  </si>
  <si>
    <t>Chateau Clos Fourtet Saint-Émilion Premier Grand Cru Classé</t>
  </si>
  <si>
    <t>S000135</t>
  </si>
  <si>
    <t>Coche-Dury Bourgogne Aligoté</t>
  </si>
  <si>
    <t>S000136</t>
  </si>
  <si>
    <t>Coche-Dury Meursault</t>
  </si>
  <si>
    <t>S000137</t>
  </si>
  <si>
    <t>S000138</t>
  </si>
  <si>
    <t>Coessens Largillier Brut Nature</t>
  </si>
  <si>
    <t>S000139</t>
  </si>
  <si>
    <t>Domaine Comte de Montebello Montrachet Grand Cru</t>
  </si>
  <si>
    <t>S000140</t>
  </si>
  <si>
    <t>Domaine Comte Georges de Vogüé Chambolle-Musigny</t>
  </si>
  <si>
    <t>S000141</t>
  </si>
  <si>
    <t>Domaine du Comte Liger-Belair La Romanée Grand Cru</t>
  </si>
  <si>
    <t>S000142</t>
  </si>
  <si>
    <t>Domaine du Comte Liger-Belair Vosne-Romanée 'Clos du Chateau' Monopole</t>
  </si>
  <si>
    <t>S000143</t>
  </si>
  <si>
    <t>Domaine des Comtes Lafon Meursault 'Les Boucheres' Premier Cru</t>
  </si>
  <si>
    <t>S000144</t>
  </si>
  <si>
    <t>Domaine Coquard-Loison-Fleurot Chambolle-Musigny</t>
  </si>
  <si>
    <t>S000145</t>
  </si>
  <si>
    <t>Domaine Coquard-Loison-Fleurot Vosne-Romanée</t>
  </si>
  <si>
    <t>S000146</t>
  </si>
  <si>
    <t>Chateau Cos d'Estournel Saint-Estèphe Deuxième Grand Cru Classé</t>
  </si>
  <si>
    <t>S000147</t>
  </si>
  <si>
    <t>Chateau Cos Labory Saint-Estèphe Grand Cru Classé</t>
  </si>
  <si>
    <t>S000148</t>
  </si>
  <si>
    <t>Coudray-Bizot Chateau de Beaufort Gevrey-Chambertin Premier Cru</t>
  </si>
  <si>
    <t>S000149</t>
  </si>
  <si>
    <t>Coudray-Bizot Chateau de Beaufort Gevrey-Chambertin 'Les Champeaux' Premier Cru</t>
  </si>
  <si>
    <t>S000150</t>
  </si>
  <si>
    <t>S000151</t>
  </si>
  <si>
    <t>Coudray-Bizot Chateau de Beaufort Gevrey-Chambertin 'Les Cazetiers' Premier Cru</t>
  </si>
  <si>
    <t>S000152</t>
  </si>
  <si>
    <t>Coudray-Bizot Chateau de Beaufort Nuits-Saint-Georges 'Au Bas de Combe'</t>
  </si>
  <si>
    <t>S000153</t>
  </si>
  <si>
    <t>Chateau Couhins La Gravette</t>
  </si>
  <si>
    <t>S000154</t>
  </si>
  <si>
    <t>Domaine de Cristia Chateauneuf-du-Pape 'Cuvee Renaissance'</t>
  </si>
  <si>
    <t>S000155</t>
  </si>
  <si>
    <t>Chateau Ducru-Beaucaillou 'La Croix de Beaucaillou'</t>
  </si>
  <si>
    <t>S000156</t>
  </si>
  <si>
    <t>Domaine d'Eugenie Chassagne-Montrachet 'Les Perclos'</t>
  </si>
  <si>
    <t>S000157</t>
  </si>
  <si>
    <t>Domaine d'Eugenie Vosne-Romanée 'Les Brulees' Premier Cru</t>
  </si>
  <si>
    <t>S000158</t>
  </si>
  <si>
    <t>Dal Forno Romano 'Vigneto Monte Lodoletta' Valpolicella Superiore DOC</t>
  </si>
  <si>
    <t>S000159</t>
  </si>
  <si>
    <t>Domaine Daniel Moine-Hudelot Musigny Grand Cru</t>
  </si>
  <si>
    <t>S000160</t>
  </si>
  <si>
    <t>Chateau de Fieuzal Blanc Pessac-Léognan Grand Cru Classé de Graves</t>
  </si>
  <si>
    <t>S000161</t>
  </si>
  <si>
    <t>Domaine de L'Arlot Romanee-Saint-Vivant Grand Cru</t>
  </si>
  <si>
    <t>S000162</t>
  </si>
  <si>
    <t>Delas Freres Hermitage 'Domaine des Tourettes' Marquise de la Tourette</t>
  </si>
  <si>
    <t>S000163</t>
  </si>
  <si>
    <t>Domaine Denis Bachelet Gevrey-Chambertin Vieilles Vignes</t>
  </si>
  <si>
    <t>S000164</t>
  </si>
  <si>
    <t>S000165</t>
  </si>
  <si>
    <t>S000166</t>
  </si>
  <si>
    <t>S000167</t>
  </si>
  <si>
    <t>Domaine Denis Mortet Bourgogne 'Cuvee de Noble Souche' Rouge</t>
  </si>
  <si>
    <t>S000168</t>
  </si>
  <si>
    <t>Domaine Denis Mortet Marsannay 'Les Longeroies'</t>
  </si>
  <si>
    <t>S000169</t>
  </si>
  <si>
    <t>Château Rayas 'Les Tours' Réservé Grenache Blanc</t>
  </si>
  <si>
    <t>S000170</t>
  </si>
  <si>
    <t>Didier Delagrange Volnay 'Santenots' Premier Cru</t>
  </si>
  <si>
    <t>S000171</t>
  </si>
  <si>
    <t>Dom Pérignon Brut</t>
  </si>
  <si>
    <t>S000172</t>
  </si>
  <si>
    <t>S000173</t>
  </si>
  <si>
    <t>Dom Pérignon 'P2 Plenitude' Brut</t>
  </si>
  <si>
    <t>2002</t>
  </si>
  <si>
    <t>S000174</t>
  </si>
  <si>
    <t>Domaine Allary Haut-Brion</t>
  </si>
  <si>
    <t>S000175</t>
  </si>
  <si>
    <t>S000176</t>
  </si>
  <si>
    <t>Domaine Chapel Juliénas</t>
  </si>
  <si>
    <t>S000177</t>
  </si>
  <si>
    <t>Domaine de Baron'Arques Limoux</t>
  </si>
  <si>
    <t>S000178</t>
  </si>
  <si>
    <t>Domaine des Tours (Rayas) Vin de Pays de Vaucluse Merlot Syrah</t>
  </si>
  <si>
    <t>S000179</t>
  </si>
  <si>
    <t>Domaine des Tours (Rayas) Vin de Pays de Vaucluse Merlot</t>
  </si>
  <si>
    <t>S000180</t>
  </si>
  <si>
    <t>Domaine des Tours (Rayas) Vin de Pays de Vaucluse Rouge</t>
  </si>
  <si>
    <t>S000181</t>
  </si>
  <si>
    <t>S000182</t>
  </si>
  <si>
    <t>S000183</t>
  </si>
  <si>
    <t>S000184</t>
  </si>
  <si>
    <t>S000185</t>
  </si>
  <si>
    <t>S000186</t>
  </si>
  <si>
    <t>Domaine Taupenot-Merme Chambolle-Musigny 'La Combe d'Orveau' Premier Cru</t>
  </si>
  <si>
    <t>S000187</t>
  </si>
  <si>
    <t>Domaine Trapet Pere et Fils Chapelle-Chambertin Grand Cru</t>
  </si>
  <si>
    <t>S000188</t>
  </si>
  <si>
    <t>Dominique Laurent Clos de la Roche 'Cuvée Vieilles Vignes Intra Muros' Grand Cru</t>
  </si>
  <si>
    <t>S000189</t>
  </si>
  <si>
    <t>S000190</t>
  </si>
  <si>
    <t>Dominique Laurent Grands-Échézeaux 'Grande Cuvée Vieilles Vignes' Grand Cru</t>
  </si>
  <si>
    <t>S000191</t>
  </si>
  <si>
    <t>Domaine de la Romanée-Conti Montrachet Grand Cru</t>
  </si>
  <si>
    <t>S000192</t>
  </si>
  <si>
    <t>Domaine Drouhin-Laroze Bonnes-Mares Grand Cru</t>
  </si>
  <si>
    <t>S000193</t>
  </si>
  <si>
    <t>Domaine Drouhin-Laroze Chambertin Clos-de-Beze Grand Cru</t>
  </si>
  <si>
    <t>S000194</t>
  </si>
  <si>
    <t>S000195</t>
  </si>
  <si>
    <t>S000196</t>
  </si>
  <si>
    <t>Domaine Drouhin-Laroze Gevrey-Chambertin 'Au Closeau' Premier Cru</t>
  </si>
  <si>
    <t>S000197</t>
  </si>
  <si>
    <t>Domaine Dugat-Py Gevrey-Chambertin Vieilles Vignes</t>
  </si>
  <si>
    <t>S000198</t>
  </si>
  <si>
    <t>Domaine Dugat-Py Gevrey-Chambertin 'Petite Chapelle' Premier Cru</t>
  </si>
  <si>
    <t>S000199</t>
  </si>
  <si>
    <t>Domaine Dujac Morey-Saint-Denis Premier Cru</t>
  </si>
  <si>
    <t>S000200</t>
  </si>
  <si>
    <t>Domaine Dujac Puligny-Montrachet 'Les Folatieres' Premier Cru</t>
  </si>
  <si>
    <t>S000201</t>
  </si>
  <si>
    <t>Dumangin J. Fils 'L' Extra Brut' Premier Cru</t>
  </si>
  <si>
    <t>S000202</t>
  </si>
  <si>
    <t>Dumangin J. Fils 'Le Vintage' Premier Cru Extra Brut</t>
  </si>
  <si>
    <t>S000203</t>
  </si>
  <si>
    <t>Domaine Edouard Confuron Gevrey-Chambertin 'Les Seuvrees'</t>
  </si>
  <si>
    <t>S000204</t>
  </si>
  <si>
    <t>Domaine Edouard Confuron Nuits-Saint-Georges 'Aux Allots'</t>
  </si>
  <si>
    <t>S000205</t>
  </si>
  <si>
    <t>Domaine Edouard Confuron Vosne-Romanée 'Le Pre de la Folie'</t>
  </si>
  <si>
    <t>S000206</t>
  </si>
  <si>
    <t>Domaine Edouard Confuron Vosne-Romanée 'Les Hautes Maizieres'</t>
  </si>
  <si>
    <t>S000207</t>
  </si>
  <si>
    <t>Egly-Ouriet Coteaux Champenois Ambonnay Rouge 'Cuvee des Grands Cotes' Vieilles Vignes</t>
  </si>
  <si>
    <t>S000208</t>
  </si>
  <si>
    <t>Domaine Elodie Roy Bourgogne Hautes Cotes de Beaune Blanc</t>
  </si>
  <si>
    <t>300.00</t>
  </si>
  <si>
    <t>S000209</t>
  </si>
  <si>
    <t>Domaine Elodie Roy Bourgogne Hautes Cotes de Beaune Rouge</t>
  </si>
  <si>
    <t>S000210</t>
  </si>
  <si>
    <t>Domaine Elodie Roy Santenay 'Les Gravieres' Premier Cru</t>
  </si>
  <si>
    <t>S000211</t>
  </si>
  <si>
    <t>Emmanuel Rouget Bourgogne Passe-tout-grains</t>
  </si>
  <si>
    <t>S000212</t>
  </si>
  <si>
    <t>S000213</t>
  </si>
  <si>
    <t>S000214</t>
  </si>
  <si>
    <t>S000215</t>
  </si>
  <si>
    <t>Emmanuel Rouget Chorey-les-Beaune</t>
  </si>
  <si>
    <t>S000216</t>
  </si>
  <si>
    <t>S000217</t>
  </si>
  <si>
    <t>Emmanuel Rouget Cote de Nuits-Villages</t>
  </si>
  <si>
    <t>S000218</t>
  </si>
  <si>
    <t>Emmanuel Rouget Échézeaux Grand Cru</t>
  </si>
  <si>
    <t>S000219</t>
  </si>
  <si>
    <t>S000220</t>
  </si>
  <si>
    <t>Emmanuel Rouget Nuits-Saint-Georges</t>
  </si>
  <si>
    <t>S000221</t>
  </si>
  <si>
    <t>S000222</t>
  </si>
  <si>
    <t>S000223</t>
  </si>
  <si>
    <t>Emmanuel Rouget Savigny-lès-Beaune</t>
  </si>
  <si>
    <t>S000224</t>
  </si>
  <si>
    <t>Emmanuel Rouget Vosne-Romanée</t>
  </si>
  <si>
    <t>S000225</t>
  </si>
  <si>
    <t>S000226</t>
  </si>
  <si>
    <t>Emmanuel Rouget Vosne-Romanée 'Cros Parantoux' Premier Cru</t>
  </si>
  <si>
    <t>S000227</t>
  </si>
  <si>
    <t>Emmanuel Rouget Vosne-Romanée 'Les Beaux Monts' Premier Cru</t>
  </si>
  <si>
    <t>S000228</t>
  </si>
  <si>
    <t>S000229</t>
  </si>
  <si>
    <t>Eric Rodez Grand Cru 'Cuvee des Crayeres' Ambonnay Grand Cru Extra Brut</t>
  </si>
  <si>
    <t>S000230</t>
  </si>
  <si>
    <t>Domaine d'Eugenie Vosne-Romanée 'Aux Brulees' Premier Cru</t>
  </si>
  <si>
    <t>S000231</t>
  </si>
  <si>
    <t>Domaine Fabrice Vigot Nuits-Saint-Georges Vieilles Vignes</t>
  </si>
  <si>
    <t>S000232</t>
  </si>
  <si>
    <t>Domaine Fabrice Vigot Vosne-Romanée 'Les Damaudes'</t>
  </si>
  <si>
    <t>S000233</t>
  </si>
  <si>
    <t>S000234</t>
  </si>
  <si>
    <t>Domaine Faiveley Chambolle-Musigny 'Les Amoureuses'</t>
  </si>
  <si>
    <t>S000235</t>
  </si>
  <si>
    <t>Famille Messager Germain Bourgogne Chardonnay</t>
  </si>
  <si>
    <t>S000236</t>
  </si>
  <si>
    <t>Famille Messager Germain Bourgogne Pinot Noir</t>
  </si>
  <si>
    <t>S000237</t>
  </si>
  <si>
    <t>Famille Messager Germain Coteaux Bourguignons Chardonnay</t>
  </si>
  <si>
    <t>S000238</t>
  </si>
  <si>
    <t>Chateau Faugeres Saint-Émilion Grand Cru</t>
  </si>
  <si>
    <t>S000239</t>
  </si>
  <si>
    <t>Domaine Gilbert et Christine Felettig Chambolle-Musigny Vieilles Vignes</t>
  </si>
  <si>
    <t>S000240</t>
  </si>
  <si>
    <t>Domaine Gilbert et Christine Felettig Bourgogne Hautes Cotes de Nuits</t>
  </si>
  <si>
    <t>S000241</t>
  </si>
  <si>
    <t>Domaine Gilbert et Christine Felettig Vosne-Romanée</t>
  </si>
  <si>
    <t>S000242</t>
  </si>
  <si>
    <t>Domaine Gilbert et Christine Felettig Vosne-Romanée 'Aux Reignots' Premier Cru</t>
  </si>
  <si>
    <t>S000243</t>
  </si>
  <si>
    <t>Chateau Ferriere</t>
  </si>
  <si>
    <t>S000244</t>
  </si>
  <si>
    <t>Fleury Pere et Fils 'Fleur de l'Europe' Brut Nature</t>
  </si>
  <si>
    <t>S000245</t>
  </si>
  <si>
    <t>Fleury Pere et Fils 'Notes Blanches' Brut Nature</t>
  </si>
  <si>
    <t>S000246</t>
  </si>
  <si>
    <t>Domaine Follin-Arbelet Romanée-Saint-Vivant Grand Cru</t>
  </si>
  <si>
    <t>S000247</t>
  </si>
  <si>
    <t>Fonseca Vintage Port</t>
  </si>
  <si>
    <t>1994</t>
  </si>
  <si>
    <t>Sweet</t>
  </si>
  <si>
    <t>S000248</t>
  </si>
  <si>
    <t>Domaine Fontaine-Gagnard Chassagne-Montrachet 'Clos Saint-Jean' Premier Cru</t>
  </si>
  <si>
    <t>S000249</t>
  </si>
  <si>
    <t>Domaine Forey Pere et Fils Vosne-Romanée</t>
  </si>
  <si>
    <t>S000250</t>
  </si>
  <si>
    <t>S000251</t>
  </si>
  <si>
    <t>Domaine Fourrier Bourgogne Rouge</t>
  </si>
  <si>
    <t>S000252</t>
  </si>
  <si>
    <t>S000253</t>
  </si>
  <si>
    <t>S000254</t>
  </si>
  <si>
    <t>Domaine Fourrier Chambertin Grand Cru Vieille Vigne</t>
  </si>
  <si>
    <t>S000255</t>
  </si>
  <si>
    <t>Domaine Fourrier Chambolle-Musigny 'Aux Echanges' Vieilles Vignes Premier Cru</t>
  </si>
  <si>
    <t>S000256</t>
  </si>
  <si>
    <t>Domaine Fourrier Échézeaux Grand Cru Vieilles Vignes</t>
  </si>
  <si>
    <t>S000257</t>
  </si>
  <si>
    <t>S000258</t>
  </si>
  <si>
    <t>Domaine Fourrier Gevrey-Chambertin Vieilles Vignes</t>
  </si>
  <si>
    <t>S000259</t>
  </si>
  <si>
    <t>S000260</t>
  </si>
  <si>
    <t>S000261</t>
  </si>
  <si>
    <t>Domaine Fourrier Gevrey-Chambertin 'Les Cherbaudes' Vieilles Vignes Premier Cru</t>
  </si>
  <si>
    <t>S000262</t>
  </si>
  <si>
    <t>S000263</t>
  </si>
  <si>
    <t>Domaine Fourrier Gevrey-Chambertin 'Clos Saint-Jacques' Premier Cru</t>
  </si>
  <si>
    <t>S000264</t>
  </si>
  <si>
    <t>S000265</t>
  </si>
  <si>
    <t>Domaine Fourrier Gevrey-Chambertin 'La Combe Aux Moines' Vieilles Vignes Premier Cru</t>
  </si>
  <si>
    <t>S000266</t>
  </si>
  <si>
    <t>S000267</t>
  </si>
  <si>
    <t>S000268</t>
  </si>
  <si>
    <t>S000269</t>
  </si>
  <si>
    <t>Domaine Fourrier Mazoyeres-Chambertin Grand Cru Vieille Vigne</t>
  </si>
  <si>
    <t>S000270</t>
  </si>
  <si>
    <t>Domaine Fourrier Morey-Saint-Denis 'Clos Solon' Vieilles Vignes</t>
  </si>
  <si>
    <t>S000271</t>
  </si>
  <si>
    <t>Domaine Fourrier Vougeot 'Les Petits Vougeots' Vieilles Vignes Premier Cru</t>
  </si>
  <si>
    <t>S000272</t>
  </si>
  <si>
    <t>Francois Confuron-Gindre Vosne-Romanée</t>
  </si>
  <si>
    <t>S000273</t>
  </si>
  <si>
    <t>Francois Confuron-Gindre Vosne-Romanée 'Les Beaumonts' Premier Cru</t>
  </si>
  <si>
    <t>S000274</t>
  </si>
  <si>
    <t>S000275</t>
  </si>
  <si>
    <t>Francois Confuron-Gindre Vosne-Romanée 'Les Brulees' Premier Cru</t>
  </si>
  <si>
    <t>S000276</t>
  </si>
  <si>
    <t>S000277</t>
  </si>
  <si>
    <t>Francois Confuron-Gindre Vosne-Romanée 'Les Chaumes' Premier Cru</t>
  </si>
  <si>
    <t>S000278</t>
  </si>
  <si>
    <t>S000279</t>
  </si>
  <si>
    <t>Francois Confuron-Gindre Vosne-Romanée 'Les Suchots' Premier Cru</t>
  </si>
  <si>
    <t>S000280</t>
  </si>
  <si>
    <t>Nicole Lamarche Clos-de-Vougeot Grand Cru</t>
  </si>
  <si>
    <t>S000281</t>
  </si>
  <si>
    <t>Nicole Lamarche Vosne-Romanée 'Aux Malconsorts' Premier Cru</t>
  </si>
  <si>
    <t>S000282</t>
  </si>
  <si>
    <t>Francoise Bedel &amp; Fils 'Cuvee Dis Vin Secret' Brut</t>
  </si>
  <si>
    <t>S000283</t>
  </si>
  <si>
    <t>Francoise Bedel &amp; Fils 'Cuvee Entre Ciel et Terre' Brut</t>
  </si>
  <si>
    <t>S000284</t>
  </si>
  <si>
    <t>Frédéric Cossard (Domaine de Chassorney) Bourgogne Pinot Noir 'En Carran' La Croix de Bernard</t>
  </si>
  <si>
    <t>S000285</t>
  </si>
  <si>
    <t>Frédéric Cossard (Domaine de Chassorney) Savigny-lès-Beaune 'Les Golardes'</t>
  </si>
  <si>
    <t>S000286</t>
  </si>
  <si>
    <t>Frédéric Cossard (Domaine de Chassorney) Volnay 'Qvevris'</t>
  </si>
  <si>
    <t>S000287</t>
  </si>
  <si>
    <t>Frédéric Cossard (Domaine de Chassorney) Nuits-Saint-Georges 'Les Damodes' Premier Cru</t>
  </si>
  <si>
    <t>S000288</t>
  </si>
  <si>
    <t>S000289</t>
  </si>
  <si>
    <t>S000290</t>
  </si>
  <si>
    <t>Frederic Lornet Côtes du Jura Vin de Paille</t>
  </si>
  <si>
    <t>S000291</t>
  </si>
  <si>
    <t>Domaine Yves et Mathilde Gangloff Condrieu</t>
  </si>
  <si>
    <t>S000292</t>
  </si>
  <si>
    <t>Domaine Yves et Mathilde Gangloff Cote Rotie 'La Barbarine'</t>
  </si>
  <si>
    <t>S000293</t>
  </si>
  <si>
    <t>S000294</t>
  </si>
  <si>
    <t>Domaine Yves et Mathilde Gangloff Cote Rotie 'La Serene Noire'</t>
  </si>
  <si>
    <t>S000295</t>
  </si>
  <si>
    <t>Domaine Geantet-Pansiot Charmes-Chambertin Grand Cru</t>
  </si>
  <si>
    <t>S000296</t>
  </si>
  <si>
    <t>Domaine Geantet-Pansiot Corton-Charlemagne Grand Cru</t>
  </si>
  <si>
    <t>S000297</t>
  </si>
  <si>
    <t>Geoffroy 'Les Houtrants Complantes' Premier Cru Brut Nature</t>
  </si>
  <si>
    <t>S000298</t>
  </si>
  <si>
    <t>Domaine Georges Chicotot Nuits-Saint-Georges 'Aux Torey' Premier Cru</t>
  </si>
  <si>
    <t>S000299</t>
  </si>
  <si>
    <t>Domaine Gerard Mugneret Vosne-Romanée 'Les Brulees' Premier Cru</t>
  </si>
  <si>
    <t>S000300</t>
  </si>
  <si>
    <t>Gerard Raphet Bourgogne Passe-tout-grains</t>
  </si>
  <si>
    <t>S000301</t>
  </si>
  <si>
    <t>Gerard Raphet Chambertin Clos-de-Beze Grand Cru</t>
  </si>
  <si>
    <t>S000302</t>
  </si>
  <si>
    <t>S000303</t>
  </si>
  <si>
    <t>Gerard Raphet Chambolle-Musigny</t>
  </si>
  <si>
    <t>S000304</t>
  </si>
  <si>
    <t>Gerard Raphet Charmes-Chambertin Grand Cru</t>
  </si>
  <si>
    <t>S000305</t>
  </si>
  <si>
    <t>Gerard Raphet Clos de la Roche Grand Cru</t>
  </si>
  <si>
    <t>S000306</t>
  </si>
  <si>
    <t>Gerard Raphet Clos-de-Vougeot Grand Cru Vieilles Vignes</t>
  </si>
  <si>
    <t>S000307</t>
  </si>
  <si>
    <t>S000308</t>
  </si>
  <si>
    <t>Gerard Raphet Gevrey-Chambertin</t>
  </si>
  <si>
    <t>S000309</t>
  </si>
  <si>
    <t>Gerard Raphet Gevrey-Chambertin 'Lavaux Saint-Jacques' Premier Cru</t>
  </si>
  <si>
    <t>S000310</t>
  </si>
  <si>
    <t>Gerard Raphet Gevrey-Chambertin 'Les Combottes' Premier Cru</t>
  </si>
  <si>
    <t>S000311</t>
  </si>
  <si>
    <t>Gerard Raphet Morey-Saint-Denis</t>
  </si>
  <si>
    <t>S000312</t>
  </si>
  <si>
    <t>Domaine Ghislaine Barthod Chambolle-Musigny</t>
  </si>
  <si>
    <t>S000313</t>
  </si>
  <si>
    <t>S000314</t>
  </si>
  <si>
    <t>Domaine Ghislaine Barthod Chambolle-Musigny 'Aux Beaux Bruns' Premier Cru</t>
  </si>
  <si>
    <t>S000315</t>
  </si>
  <si>
    <t>S000316</t>
  </si>
  <si>
    <t>Girard-Bonnet 'A Mi-Chemin' Chardonnay Grand Cru Extra Brut</t>
  </si>
  <si>
    <t>S000317</t>
  </si>
  <si>
    <t>Domaine Giraud Chateauneuf-du-Pape 'Grenaches de Pierre'</t>
  </si>
  <si>
    <t>S000318</t>
  </si>
  <si>
    <t>Château Grand Mayne Saint-Émilion Grand Cru</t>
  </si>
  <si>
    <t>S000319</t>
  </si>
  <si>
    <t>Château Grand-Pontet Saint-Émilion Grand Cru</t>
  </si>
  <si>
    <t>S000320</t>
  </si>
  <si>
    <t>Château Grand-Puy-Lacoste Pauillac Grand Cru Classé</t>
  </si>
  <si>
    <t>S000321</t>
  </si>
  <si>
    <t>S000322</t>
  </si>
  <si>
    <t>S000323</t>
  </si>
  <si>
    <t>Château Les Grandes Murailles Saint-Émilion Grand Cru</t>
  </si>
  <si>
    <t>S000324</t>
  </si>
  <si>
    <t>Domaine de la Grange des Pères</t>
  </si>
  <si>
    <t>S000325</t>
  </si>
  <si>
    <t>Domaine Gros Frère et Soeur Clos-de-Vougeot Grand Cru</t>
  </si>
  <si>
    <t>S000326</t>
  </si>
  <si>
    <t>Domaine Gros Frère et Soeur Bourgogne Hautes-Côtes de Nuits</t>
  </si>
  <si>
    <t>S000327</t>
  </si>
  <si>
    <t>S000328</t>
  </si>
  <si>
    <t>1990</t>
  </si>
  <si>
    <t>S000329</t>
  </si>
  <si>
    <t>Domaine Gros Frère et Soeur Échézeaux Grand Cru</t>
  </si>
  <si>
    <t>S000330</t>
  </si>
  <si>
    <t>Domaine Gros Frère et Soeur Richebourg Grand Cru</t>
  </si>
  <si>
    <t>S000331</t>
  </si>
  <si>
    <t>S000332</t>
  </si>
  <si>
    <t>Domaine A.F. Gros Bourgogne Pinot Noir</t>
  </si>
  <si>
    <t>S000333</t>
  </si>
  <si>
    <t>S000334</t>
  </si>
  <si>
    <t>Château Gruaud-Larose Saint-Julien Grand Cru Classé</t>
  </si>
  <si>
    <t>1986</t>
  </si>
  <si>
    <t>S000335</t>
  </si>
  <si>
    <t>S000336</t>
  </si>
  <si>
    <t>Guy Michel &amp; Fils Brut Millesime</t>
  </si>
  <si>
    <t>1999</t>
  </si>
  <si>
    <t>S000337</t>
  </si>
  <si>
    <t>Guy Michel &amp; Fils Paris 'Folie' Brut Millesime</t>
  </si>
  <si>
    <t>2000</t>
  </si>
  <si>
    <t>S000338</t>
  </si>
  <si>
    <t>Domaine Jean-Pierre Guyon Vosne-Romanée 'Les Brulees' Premier Cru</t>
  </si>
  <si>
    <t>S000339</t>
  </si>
  <si>
    <t>Chateau Haut-Batailley</t>
  </si>
  <si>
    <t>S000340</t>
  </si>
  <si>
    <t>Chateau Haut-Bergey</t>
  </si>
  <si>
    <t>S000341</t>
  </si>
  <si>
    <t>Chateau Haut-Brion</t>
  </si>
  <si>
    <t>S000342</t>
  </si>
  <si>
    <t>S000343</t>
  </si>
  <si>
    <t>Domaine Henri Delagrange Hautes Cotes de Beaune</t>
  </si>
  <si>
    <t>S000344</t>
  </si>
  <si>
    <t>Domaine Henri Delagrange Pommard 'Les Bertins' Premier Cru</t>
  </si>
  <si>
    <t>S000345</t>
  </si>
  <si>
    <t>Domaine Henri Delagrange Pommard 'Les Vaumuriens Haut'</t>
  </si>
  <si>
    <t>S000346</t>
  </si>
  <si>
    <t>Domaine Henri Delagrange Volnay Vieilles Vignes</t>
  </si>
  <si>
    <t>S000347</t>
  </si>
  <si>
    <t>Domaine Henri Magnien Gevrey-Chambertin 'Les Cazetiers' Premier Cru</t>
  </si>
  <si>
    <t>S000348</t>
  </si>
  <si>
    <t>Domaine Heresztyn-Mazzini Clos-Saint-Denis Grand Cru</t>
  </si>
  <si>
    <t>S000349</t>
  </si>
  <si>
    <t>S000350</t>
  </si>
  <si>
    <t>Domaine Hoffmann-Jayer Bourgogne Hautes Cotes de Nuits</t>
  </si>
  <si>
    <t>S000351</t>
  </si>
  <si>
    <t>Domaine Hubert Lignier Charmes-Chambertin Grand Cru</t>
  </si>
  <si>
    <t>S000352</t>
  </si>
  <si>
    <t>Domaine Hubert Lignier Clos de la Roche Grand Cru</t>
  </si>
  <si>
    <t>S000353</t>
  </si>
  <si>
    <t>Domaine Hubert Lignier Morey-Saint-Denis 'Les Chaffots' Premier Cru</t>
  </si>
  <si>
    <t>S000354</t>
  </si>
  <si>
    <t>Alain Hudelot-Noellat Bourgogne Rouge</t>
  </si>
  <si>
    <t>S000355</t>
  </si>
  <si>
    <t>S000356</t>
  </si>
  <si>
    <t>S000357</t>
  </si>
  <si>
    <t>Alain Hudelot-Noellat Clos de Vougeot Grand Cru</t>
  </si>
  <si>
    <t>S000358</t>
  </si>
  <si>
    <t>S000359</t>
  </si>
  <si>
    <t>Alain Hudelot-Noellat Nuits-Saint-Georges 'Les Murgers' Premier Cru</t>
  </si>
  <si>
    <t>S000360</t>
  </si>
  <si>
    <t>S000361</t>
  </si>
  <si>
    <t>Alain Hudelot-Noellat Vosne-Romanée</t>
  </si>
  <si>
    <t>S000362</t>
  </si>
  <si>
    <t>Alain Hudelot-Noellat Vosne-Romanée 'Les Beaumonts' Premier Cru</t>
  </si>
  <si>
    <t>S000363</t>
  </si>
  <si>
    <t>S000364</t>
  </si>
  <si>
    <t>Iberica Bruno Prats AlfYnal Monastrell</t>
  </si>
  <si>
    <t>S000365</t>
  </si>
  <si>
    <t>Domaine Jacques Prieur Beaune 'Greves'</t>
  </si>
  <si>
    <t>S000366</t>
  </si>
  <si>
    <t>Domaine Jacques Prieur Clos de Vougeot Grand Cru</t>
  </si>
  <si>
    <t>S000367</t>
  </si>
  <si>
    <t>Domaine Jacques Prieur Montrachet Grand Cru</t>
  </si>
  <si>
    <t>S000368</t>
  </si>
  <si>
    <t>Domaine Jacques Prieur Musigny Grand Cru</t>
  </si>
  <si>
    <t>S000369</t>
  </si>
  <si>
    <t>Jacques Selosse 'Initial' Blanc de Blancs Grand Cru Brut</t>
  </si>
  <si>
    <t>S000370</t>
  </si>
  <si>
    <t>Jacques Selosse 'Substance' Blanc de Blancs Grand Cru Brut</t>
  </si>
  <si>
    <t>S000371</t>
  </si>
  <si>
    <t>Domaine Jamet Syrah</t>
  </si>
  <si>
    <t>S000372</t>
  </si>
  <si>
    <t>Domaine Jean Chauvenet Nuits-Saint-Georges 'Les Damodes' Premier Cru</t>
  </si>
  <si>
    <t>S000373</t>
  </si>
  <si>
    <t>Domaine Jean Chauvenet Nuits-Saint-Georges 'Rue de Chaux' Premier Cru</t>
  </si>
  <si>
    <t>S000374</t>
  </si>
  <si>
    <t>Domaine Jean Grivot Vosne-Romanée 'Aux Reignots' Premier Cru</t>
  </si>
  <si>
    <t>S000375</t>
  </si>
  <si>
    <t>S000376</t>
  </si>
  <si>
    <t>S000377</t>
  </si>
  <si>
    <t>S000378</t>
  </si>
  <si>
    <t>Domaine Jean Grivot Vosne-Romanée 'Les Suchots' Premier Cru</t>
  </si>
  <si>
    <t>S000379</t>
  </si>
  <si>
    <t>Domaine Jean-Jacques Confuron 'Cuvée Jeunesse'</t>
  </si>
  <si>
    <t>S000380</t>
  </si>
  <si>
    <t>Domaine Jean-Jacques Confuron Nuits-Saint-Georges 'Aux Boudots' Premier Cru</t>
  </si>
  <si>
    <t>S000381</t>
  </si>
  <si>
    <t>Domaine Jean-Jacques Confuron Nuits-Saint-Georges 'Les Fleurieres'</t>
  </si>
  <si>
    <t>S000382</t>
  </si>
  <si>
    <t>Domaine Jean Tardy et Fils Nuits-Saint-Georges 'Aux Bas de Combe' Vieilles Vignes</t>
  </si>
  <si>
    <t>S000383</t>
  </si>
  <si>
    <t>Domaine Jean Tardy et Fils Vosne-Romanée 'Vigneux'</t>
  </si>
  <si>
    <t>S000384</t>
  </si>
  <si>
    <t>Domaine Jerome Castagnier Chambolle-Musigny 'Les Amoureuses' Premier Cru</t>
  </si>
  <si>
    <t>S000385</t>
  </si>
  <si>
    <t>Domaine Jacques-Frederic Mugnier Chambolle-Musigny</t>
  </si>
  <si>
    <t>S000386</t>
  </si>
  <si>
    <t>Domaine Jacques-Frédéric Mugnier Nuits-Saint-Georges 'Clos de la Maréchale' Premier Cru</t>
  </si>
  <si>
    <t>S000387</t>
  </si>
  <si>
    <t>S000388</t>
  </si>
  <si>
    <t>S000389</t>
  </si>
  <si>
    <t>Domaine Jean-Jacques Confuron Clos de Vougeot Grand Cru</t>
  </si>
  <si>
    <t>S000390</t>
  </si>
  <si>
    <t>Joh. Jos. Prum 'Wehlener Sonnenuhr' Riesling Auslese</t>
  </si>
  <si>
    <t>Germany</t>
  </si>
  <si>
    <t>Mosel</t>
  </si>
  <si>
    <t>Riesling</t>
  </si>
  <si>
    <t>S000391</t>
  </si>
  <si>
    <t>Joseph Drouhin Chambertin Clos-de-Beze Grand Cru</t>
  </si>
  <si>
    <t>S000392</t>
  </si>
  <si>
    <t>Joseph Drouhin Clos-de-Vougeot Grand Cru</t>
  </si>
  <si>
    <t>S000393</t>
  </si>
  <si>
    <t>Joseph Drouhin Griottes-Chambertin Grand Cru</t>
  </si>
  <si>
    <t>S000394</t>
  </si>
  <si>
    <t>Domaine Joseph &amp; Philippe Roty Gevrey-Chambertin</t>
  </si>
  <si>
    <t>S000395</t>
  </si>
  <si>
    <t>Domaine Joseph &amp; Philippe Roty Gevrey-Chambertin 'Les Fontenys' Premier Cru</t>
  </si>
  <si>
    <t>S000396</t>
  </si>
  <si>
    <t>Domaine Jules Desjourneys Pouilly-Fuisse 'Vignes de la Cote'</t>
  </si>
  <si>
    <t>S000397</t>
  </si>
  <si>
    <t>Domaine Jules Desjourneys Pouilly-Vinzelles 'Les Longeays'</t>
  </si>
  <si>
    <t>S000398</t>
  </si>
  <si>
    <t>Chateau Kirwan Margaux Troisième Grand Cru Classé</t>
  </si>
  <si>
    <t>S000399</t>
  </si>
  <si>
    <t>Krug Grande Cuvée Brut</t>
  </si>
  <si>
    <t>S000400</t>
  </si>
  <si>
    <t>Domaine de l'Aurage Castillon Côtes de Bordeaux</t>
  </si>
  <si>
    <t>S000401</t>
  </si>
  <si>
    <t>Chateau L'Eglise-Clinet Pomerol</t>
  </si>
  <si>
    <t>S000402</t>
  </si>
  <si>
    <t>Chateau L'Evangile Pomerol</t>
  </si>
  <si>
    <t>S000403</t>
  </si>
  <si>
    <t>S000404</t>
  </si>
  <si>
    <t>Chateau l'Hetre Castillon Côtes de Bordeaux</t>
  </si>
  <si>
    <t>280.00</t>
  </si>
  <si>
    <t>S000405</t>
  </si>
  <si>
    <t>S000406</t>
  </si>
  <si>
    <t>L'If Saint-Émilion Grand Cru</t>
  </si>
  <si>
    <t>S000407</t>
  </si>
  <si>
    <t>Chateau La Mission Haut-Brion Pessac-Léognan Grand Cru Classé</t>
  </si>
  <si>
    <t>S000408</t>
  </si>
  <si>
    <t>Domaine de la Commaraine Clos de la Commaraine Monopole Pommard Premier Cru</t>
  </si>
  <si>
    <t>S000409</t>
  </si>
  <si>
    <t>S000410</t>
  </si>
  <si>
    <t>Chateau La Conseillante Pomerol</t>
  </si>
  <si>
    <t>S000411</t>
  </si>
  <si>
    <t>S000412</t>
  </si>
  <si>
    <t>Chateau La Fleur de Gay Pomerol</t>
  </si>
  <si>
    <t>S000413</t>
  </si>
  <si>
    <t>S000414</t>
  </si>
  <si>
    <t>S000415</t>
  </si>
  <si>
    <t>S000416</t>
  </si>
  <si>
    <t>Domaine de la Mordorée Châteauneuf-du-Pape 'Cuvée La Reine des Bois'</t>
  </si>
  <si>
    <t>S000417</t>
  </si>
  <si>
    <t>S000418</t>
  </si>
  <si>
    <t>Domaine de la Pousse d'Or Chambolle-Musigny 'Les Amoureuses' Premier Cru</t>
  </si>
  <si>
    <t>S000419</t>
  </si>
  <si>
    <t>Château Lafaurie-Peyraguey Sauternes Premier Grand Cru Classé</t>
  </si>
  <si>
    <t>S000420</t>
  </si>
  <si>
    <t>Château Lafon-Rochet Saint-Estèphe Grand Cru Classé</t>
  </si>
  <si>
    <t>S000421</t>
  </si>
  <si>
    <t>Château Lagrange Saint-Julien Grand Cru Classé</t>
  </si>
  <si>
    <t>Château Lagrange</t>
  </si>
  <si>
    <t>S000422</t>
  </si>
  <si>
    <t>S000423</t>
  </si>
  <si>
    <t>S000424</t>
  </si>
  <si>
    <t>Domaine des Lambrays Clos des Lambrays Grand Cru</t>
  </si>
  <si>
    <t>S000425</t>
  </si>
  <si>
    <t>S000426</t>
  </si>
  <si>
    <t>Lancelot-Pienne 'Cuvee Perceval' Brut</t>
  </si>
  <si>
    <t>S000427</t>
  </si>
  <si>
    <t>Château Langoa Barton Saint-Julien Troisième Grand Cru Classé</t>
  </si>
  <si>
    <t>S000428</t>
  </si>
  <si>
    <t>Château Larrivet Haut-Brion Pessac-Léognan</t>
  </si>
  <si>
    <t>S000429</t>
  </si>
  <si>
    <t>Château Lascombes Margaux Deuxième Grand Cru Classé</t>
  </si>
  <si>
    <t>S000430</t>
  </si>
  <si>
    <t>S000431</t>
  </si>
  <si>
    <t>Château Latour Pauillac Premier Grand Cru Classé</t>
  </si>
  <si>
    <t>S000432</t>
  </si>
  <si>
    <t>Château Calon-Ségur 'Le C De Calon Ségur' Saint-Estèphe</t>
  </si>
  <si>
    <t>S000433</t>
  </si>
  <si>
    <t>Le Dôme Saint-Émilion Grand Cru</t>
  </si>
  <si>
    <t>S000434</t>
  </si>
  <si>
    <t>Château Smith Haut Lafitte 'Le Petit Smith Haut Lafitte' Pessac-Léognan</t>
  </si>
  <si>
    <t>Château Smith Haut Lafitte</t>
  </si>
  <si>
    <t>S000435</t>
  </si>
  <si>
    <t>Château Léoville-Las Cases 'Le Petit Lion du Marquis de Las Cases' Saint-Julien</t>
  </si>
  <si>
    <t>S000436</t>
  </si>
  <si>
    <t>Le Ragnaie Vigna Vecchia Brunello di Montalcino DOCG</t>
  </si>
  <si>
    <t>S000437</t>
  </si>
  <si>
    <t>Ornellaia 'Le Serre Nuove dell'Ornellaia' Bolgheri Rosso</t>
  </si>
  <si>
    <t>S000438</t>
  </si>
  <si>
    <t>Domaine Lecroisey Nuits-Saint-Georges 'Les Vaucrains' Premier Cru</t>
  </si>
  <si>
    <t>S000439</t>
  </si>
  <si>
    <t>Domaine Lecroisey Nuits-Saint-Georges 'Les Vallerots'</t>
  </si>
  <si>
    <t>S000440</t>
  </si>
  <si>
    <t>Château Léoville Barton Saint-Julien Deuxième Grand Cru Classé</t>
  </si>
  <si>
    <t>S000441</t>
  </si>
  <si>
    <t>S000442</t>
  </si>
  <si>
    <t>Chateau Leoville-Las Cases 'Grand Vin de Leoville' Saint-Julien Premier Grand Cru Classé</t>
  </si>
  <si>
    <t>S000443</t>
  </si>
  <si>
    <t>Château Léoville Poyferré Saint-Julien Deuxième Grand Cru Classé</t>
  </si>
  <si>
    <t>1983</t>
  </si>
  <si>
    <t>S000444</t>
  </si>
  <si>
    <t>S000445</t>
  </si>
  <si>
    <t>Maison Leroy Beaujolais Villages Primeur</t>
  </si>
  <si>
    <t>S000446</t>
  </si>
  <si>
    <t>Domaine Leroy Chambolle-Musigny</t>
  </si>
  <si>
    <t>S000447</t>
  </si>
  <si>
    <t>Domaine Leroy Corton-Renardes Grand Cru</t>
  </si>
  <si>
    <t>S000448</t>
  </si>
  <si>
    <t>Domaine Leroy Musigny Grand Cru</t>
  </si>
  <si>
    <t>1998</t>
  </si>
  <si>
    <t>S000449</t>
  </si>
  <si>
    <t>Domaine Leroy Nuits-Saint-Georges 'Les Boudots' Premier Cru</t>
  </si>
  <si>
    <t>S000450</t>
  </si>
  <si>
    <t>Chateau Les Carmes Haut-Brion Pessac-Léognan</t>
  </si>
  <si>
    <t>S000451</t>
  </si>
  <si>
    <t>Chateau Latour 'Les Forts de Latour' Pauillac</t>
  </si>
  <si>
    <t>S000452</t>
  </si>
  <si>
    <t>Chateau Les Ormes-de-Pez Saint-Estèphe</t>
  </si>
  <si>
    <t>S000453</t>
  </si>
  <si>
    <t>Chateau Lilian Ladouys Saint-Estèphe</t>
  </si>
  <si>
    <t>S000454</t>
  </si>
  <si>
    <t>Louis Jadot Beaune 'Cent Vignes' Premier Cru</t>
  </si>
  <si>
    <t>S000455</t>
  </si>
  <si>
    <t>Louis Jadot Nuits-Saint-Georges 'Les Boudots' Premier Cru</t>
  </si>
  <si>
    <t>S000456</t>
  </si>
  <si>
    <t>Louis Jadot Chambolle-Musigny 'Les Fuees' Premier Cru</t>
  </si>
  <si>
    <t>S000457</t>
  </si>
  <si>
    <t>Louis Jadot Gevrey-Chambertin 'Lavaux Saint-Jacques' Premier Cru</t>
  </si>
  <si>
    <t>S000458</t>
  </si>
  <si>
    <t>S000459</t>
  </si>
  <si>
    <t>Louis Roederer 'Cristal' Brut</t>
  </si>
  <si>
    <t>S000460</t>
  </si>
  <si>
    <t>Louis Roederer 'Cristal' Brut (Gift Box)</t>
  </si>
  <si>
    <t>S000461</t>
  </si>
  <si>
    <t>Domaine Lucie et Auguste Lignier Clos de la Roche Grand Cru</t>
  </si>
  <si>
    <t>S000462</t>
  </si>
  <si>
    <t>M. Chapoutier Châteauneuf-du-Pape 'Barbe Rac'</t>
  </si>
  <si>
    <t>S000463</t>
  </si>
  <si>
    <t>S000464</t>
  </si>
  <si>
    <t>Marthe Henry Boillot Bourgogne 'La Monatine' Blanc</t>
  </si>
  <si>
    <t>S000465</t>
  </si>
  <si>
    <t>Marthe Henry Boillot Bourgogne 'Les Grandes Gouttes'</t>
  </si>
  <si>
    <t>S000466</t>
  </si>
  <si>
    <t xml:space="preserve">Marthe Henry Boillot Bourgogne Rouge </t>
  </si>
  <si>
    <t>S000467</t>
  </si>
  <si>
    <t>Marthe Henry Boillot Meursault 'Sous la Velle'</t>
  </si>
  <si>
    <t>S000468</t>
  </si>
  <si>
    <t>Marthe Henry Boillot Montagny Blanc</t>
  </si>
  <si>
    <t>S000469</t>
  </si>
  <si>
    <t>Marthe Henry Boillot Pommard 'Les Vignots'</t>
  </si>
  <si>
    <t>S000470</t>
  </si>
  <si>
    <t>Marthe Henry Boillot Bourgogne 'Saint-Martin'</t>
  </si>
  <si>
    <t>S000471</t>
  </si>
  <si>
    <t>Marthe Henry Boillot Saint-Romain 'Perriere'</t>
  </si>
  <si>
    <t>S000472</t>
  </si>
  <si>
    <t>Marthe Henry Boillot Saint-Romain</t>
  </si>
  <si>
    <t>S000473</t>
  </si>
  <si>
    <t>Marthe Henry Boillot Santenay 'Le Bievaux'</t>
  </si>
  <si>
    <t>S000474</t>
  </si>
  <si>
    <t>Maison Leroy Chambolle-Musigny 'Les Feusselottes' Premier Cru</t>
  </si>
  <si>
    <t>S000475</t>
  </si>
  <si>
    <t>Maison LYS &amp; Cousins Bourgogne 'Bussieres' Pinot Noir</t>
  </si>
  <si>
    <t>S000476</t>
  </si>
  <si>
    <t>Maison LYS &amp; Cousins Côte de Nuits Blanc 'La Toppe Citeau'</t>
  </si>
  <si>
    <t>S000477</t>
  </si>
  <si>
    <t>Maison LYS &amp; Cousins Vosne-Romanée 'Aux Communes'</t>
  </si>
  <si>
    <t>S000478</t>
  </si>
  <si>
    <t>Château Malartic-Lagravière Pessac-Léognan Blanc Grand Cru Classé</t>
  </si>
  <si>
    <t>S000479</t>
  </si>
  <si>
    <t>Château Malescot Saint-Exupéry Margaux Troisième Grand Cru Classé</t>
  </si>
  <si>
    <t>S000480</t>
  </si>
  <si>
    <t>Domaine Marc Roy Bourgogne Rouge</t>
  </si>
  <si>
    <t>S000481</t>
  </si>
  <si>
    <t>Domaine Marc Roy Gevrey-Chambertin 'Clos Prieur'</t>
  </si>
  <si>
    <t>S000482</t>
  </si>
  <si>
    <t>S000483</t>
  </si>
  <si>
    <t>Domaine Marc Roy Gevrey-Chambertin 'Cuvée Alexandrine'</t>
  </si>
  <si>
    <t>S000484</t>
  </si>
  <si>
    <t>Domaine Marc Roy Gevrey-Chambertin Vieilles Vignes</t>
  </si>
  <si>
    <t>S000485</t>
  </si>
  <si>
    <t>Domaine Marc Roy Marsannay 'Les Champs Perdrix'</t>
  </si>
  <si>
    <t>S000486</t>
  </si>
  <si>
    <t>Domaine Marchand Tawse Gevrey-Chambertin 'Champeaux' Premier Cru</t>
  </si>
  <si>
    <t>S000487</t>
  </si>
  <si>
    <t>Domaine Tawse Gevrey-Chambertin 'Aux Etelois'</t>
  </si>
  <si>
    <t>S000488</t>
  </si>
  <si>
    <t>Domaine Marchand Tawse Vosne-Romanée 'Aux Champs Perdrix'</t>
  </si>
  <si>
    <t>S000489</t>
  </si>
  <si>
    <t>Chateau Marojallia Margaux</t>
  </si>
  <si>
    <t>S000490</t>
  </si>
  <si>
    <t>Domaine Marquis d'Angerville Volnay 'Clos des Ducs' Premier Cru</t>
  </si>
  <si>
    <t>S000491</t>
  </si>
  <si>
    <t>S000492</t>
  </si>
  <si>
    <t>Domaine Méo-Camuzet Vosne-Romanée 'Aux Brûlées' Premier Cru</t>
  </si>
  <si>
    <t>S000493</t>
  </si>
  <si>
    <t>Domaine Michel Gros Vosne-Romanée 'Clos des Réas' Premier Cru</t>
  </si>
  <si>
    <t>S000494</t>
  </si>
  <si>
    <t>S000495</t>
  </si>
  <si>
    <t>Domaine Michel Noëllat Clos de Vougeot Grand Cru</t>
  </si>
  <si>
    <t>S000496</t>
  </si>
  <si>
    <t>S000497</t>
  </si>
  <si>
    <t>Domaine Michel Noëllat Échezeaux 'du Dessus' Grand Cru</t>
  </si>
  <si>
    <t>S000498</t>
  </si>
  <si>
    <t>Domaine Patrice Rion Nuits-Saint-Georges 'Clos des Argillières' Premier Cru</t>
  </si>
  <si>
    <t>S000499</t>
  </si>
  <si>
    <t>Domaine Patrice Rion Nuits-Saint-Georges 'Clos Saint-Marc' Premier Cru</t>
  </si>
  <si>
    <t>S000500</t>
  </si>
  <si>
    <t>Château Monbousquet Saint-Émilion Grand Cru</t>
  </si>
  <si>
    <t>S000501</t>
  </si>
  <si>
    <t>S000502</t>
  </si>
  <si>
    <t>Domaine de Montille Vosne-Romanée 'Les Malconsorts' Cuvée Christiane Premier Cru</t>
  </si>
  <si>
    <t>S000503</t>
  </si>
  <si>
    <t>Château Montrose Saint-Estèphe Grand Cru Classé</t>
  </si>
  <si>
    <t>S000504</t>
  </si>
  <si>
    <t>Domaine Georges Mugneret-Gibourg Bourgogne Rouge</t>
  </si>
  <si>
    <t>S000505</t>
  </si>
  <si>
    <t>Domaine Georges Mugneret-Gibourg Vosne-Romanée</t>
  </si>
  <si>
    <t>S000506</t>
  </si>
  <si>
    <t>S000507</t>
  </si>
  <si>
    <t>Müller-Catoir Mussbacher Eselshaut Rieslaner Trockenbeerenauslese</t>
  </si>
  <si>
    <t>1992</t>
  </si>
  <si>
    <t>S000508</t>
  </si>
  <si>
    <t>S000509</t>
  </si>
  <si>
    <t>Domaine Nicolas Faure Nuits-Saint-Georges 'Les Herbues'</t>
  </si>
  <si>
    <t>S000510</t>
  </si>
  <si>
    <t>Nicolas Perrault Maranges 'La Fussière' Blanc Premier Cru</t>
  </si>
  <si>
    <t>S000511</t>
  </si>
  <si>
    <t>Nicolas Perrault Maranges 'Le Clos des Rois' Premier Cru</t>
  </si>
  <si>
    <t>S000512</t>
  </si>
  <si>
    <t>Nicolas Perrault Maranges 'Les Clos Roussots' Premier Cru</t>
  </si>
  <si>
    <t>S000513</t>
  </si>
  <si>
    <t>Nicolas Perrault Santenay</t>
  </si>
  <si>
    <t>S000514</t>
  </si>
  <si>
    <t>Domaine Odoul-Coquard Bourgogne Cote d'Or Pinot Noir</t>
  </si>
  <si>
    <t>S000515</t>
  </si>
  <si>
    <t>Domaine Odoul-Coquard Chambolle-Musigny 'Les Fremieres'</t>
  </si>
  <si>
    <t>S000516</t>
  </si>
  <si>
    <t>Domaine Odoul-Coquard Charmes-Chambertin Grand Cru</t>
  </si>
  <si>
    <t>S000517</t>
  </si>
  <si>
    <t>Domaine Odoul-Coquard Gevrey-Chambertin 'Aux Combottes' Premier Cru</t>
  </si>
  <si>
    <t>S000518</t>
  </si>
  <si>
    <t>Domaine Odoul-Coquard Morey-Saint-Denis 'Les Millandes' Premier Cru</t>
  </si>
  <si>
    <t>S000519</t>
  </si>
  <si>
    <t>Domaine Odoul-Coquard Vosne-Romanée</t>
  </si>
  <si>
    <t>S000520</t>
  </si>
  <si>
    <t xml:space="preserve">Ornellaia Bolgheri Superiore </t>
  </si>
  <si>
    <t>S000521</t>
  </si>
  <si>
    <t>Château Palmer Margaux Troisième Grand Cru Classé</t>
  </si>
  <si>
    <t>S000522</t>
  </si>
  <si>
    <t>S000523</t>
  </si>
  <si>
    <t>Château Pape Clément Pessac-Léognan Grand Cru Classé de Graves</t>
  </si>
  <si>
    <t>S000524</t>
  </si>
  <si>
    <t>Domaine Les Parcellaires de Saulx Aloxe-Corton 'Les Fournieres' Premier Cru</t>
  </si>
  <si>
    <t>S000525</t>
  </si>
  <si>
    <t>Domaine Les Parcellaires de Saulx Chambolle-Musigny 'Les Feusselottes' Premier Cru</t>
  </si>
  <si>
    <t>S000526</t>
  </si>
  <si>
    <t>Domaine Les Parcellaires de Saulx Chapelle-Chambertin Grand Cru</t>
  </si>
  <si>
    <t>S000527</t>
  </si>
  <si>
    <t>Les Parcellaires de Saulx Chapelle-Chambertin Grand Cru</t>
  </si>
  <si>
    <t>S000528</t>
  </si>
  <si>
    <t>Les Parcellaires de Saulx Clos de Vougeot Grand Cru</t>
  </si>
  <si>
    <t>S000529</t>
  </si>
  <si>
    <t>Les Parcellaires de Saulx Gevrey-Chambertin 'Les Corbeaux' Premier Cru</t>
  </si>
  <si>
    <t>S000530</t>
  </si>
  <si>
    <t>Les Parcellaires de Saulx Gevrey-Chambertin 'Les Evocelles'</t>
  </si>
  <si>
    <t>S000531</t>
  </si>
  <si>
    <t>Les Parcellaires de Saulx Pommard Premier Cru Vieilles Vignes</t>
  </si>
  <si>
    <t>S000532</t>
  </si>
  <si>
    <t>Les Parcellaires de Saulx Volnay</t>
  </si>
  <si>
    <t>S000533</t>
  </si>
  <si>
    <t>Paringa Chardonnay</t>
  </si>
  <si>
    <t>S000534</t>
  </si>
  <si>
    <t>Patrick Maroiller Bourgogne Blanc</t>
  </si>
  <si>
    <t>S000535</t>
  </si>
  <si>
    <t>Patrick Maroiller Bourgogne Rouge</t>
  </si>
  <si>
    <t>S000536</t>
  </si>
  <si>
    <t>Patrick Maroiller Gevrey-Chambertin</t>
  </si>
  <si>
    <t>S000537</t>
  </si>
  <si>
    <t>Patrick Maroiller Gevrey-Chambertin 'Les Crais Cuvee Damien'</t>
  </si>
  <si>
    <t>S000538</t>
  </si>
  <si>
    <t>Patrick Maroiller Marsannay Blanc 'Les Etalles'</t>
  </si>
  <si>
    <t>S000539</t>
  </si>
  <si>
    <t>Patrick Maroiller Marsannay 'Au Potey'</t>
  </si>
  <si>
    <t>S000540</t>
  </si>
  <si>
    <t>Patrick Maroiller Marsannay 'Aux Grands Bandeaux'</t>
  </si>
  <si>
    <t>S000541</t>
  </si>
  <si>
    <t>S000542</t>
  </si>
  <si>
    <t>Paul Jaboulet Aine Hermitage 'La Maison Bleue'</t>
  </si>
  <si>
    <t>S000543</t>
  </si>
  <si>
    <t>Château Pavie-Decesse Saint-Émilion Grand Cru</t>
  </si>
  <si>
    <t>S000544</t>
  </si>
  <si>
    <t xml:space="preserve">Pavillon Rouge du Chateau Margaux </t>
  </si>
  <si>
    <t>S000545</t>
  </si>
  <si>
    <t xml:space="preserve">Penfolds Grange </t>
  </si>
  <si>
    <t>1995</t>
  </si>
  <si>
    <t>S000546</t>
  </si>
  <si>
    <t>S000547</t>
  </si>
  <si>
    <t>Petit-Roy Bourgogne Aligoté 'Fusion'</t>
  </si>
  <si>
    <t>S000548</t>
  </si>
  <si>
    <t>Petit-Roy Bourgogne Côte d'Or 'Si' Rouge</t>
  </si>
  <si>
    <t>S000549</t>
  </si>
  <si>
    <t>Petit-Roy Fleurie 'Passion'</t>
  </si>
  <si>
    <t>S000550</t>
  </si>
  <si>
    <t>Petit-Roy Pernand-Vergelesses 'Les Fichots' Premier Cru</t>
  </si>
  <si>
    <t>S000551</t>
  </si>
  <si>
    <t>Petit-Roy Bourgogne Hautes Cotes de Beaune 'Ronsin'</t>
  </si>
  <si>
    <t>S000552</t>
  </si>
  <si>
    <t>Petit-Roy Savigny-lès-Beaune</t>
  </si>
  <si>
    <t>S000553</t>
  </si>
  <si>
    <t>Petit-Roy Savigny-lès-Beaune 'Les Lavières' Premier Cru</t>
  </si>
  <si>
    <t>S000554</t>
  </si>
  <si>
    <t>Domaine Philippe Charlopin-Parizot Bonnes-Mares Grand Cru</t>
  </si>
  <si>
    <t>S000555</t>
  </si>
  <si>
    <t>S000556</t>
  </si>
  <si>
    <t>Domaine Philippe Charlopin-Parizot Bourgogne Blanc</t>
  </si>
  <si>
    <t>S000557</t>
  </si>
  <si>
    <t>Domaine Philippe Charlopin-Parizot Bourgogne Côte d'Or 'Tête de Cuvée'</t>
  </si>
  <si>
    <t>S000558</t>
  </si>
  <si>
    <t>Domaine Philippe Charlopin-Parizot Bourgogne Côte d'Or Rouge</t>
  </si>
  <si>
    <t>S000559</t>
  </si>
  <si>
    <t>Domaine Philippe Charlopin-Parizot Chambertin Grand Cru</t>
  </si>
  <si>
    <t>S000560</t>
  </si>
  <si>
    <t>S000561</t>
  </si>
  <si>
    <t>Domaine Philippe Charlopin-Parizot Chambolle-Musigny</t>
  </si>
  <si>
    <t>S000562</t>
  </si>
  <si>
    <t>S000563</t>
  </si>
  <si>
    <t>Domaine Philippe Charlopin-Parizot Charmes-Chambertin Grand Cru</t>
  </si>
  <si>
    <t>S000564</t>
  </si>
  <si>
    <t>Domaine Philippe Charlopin-Parizot Chassagne-Montrachet</t>
  </si>
  <si>
    <t>S000565</t>
  </si>
  <si>
    <t>Domaine Philippe Charlopin-Parizot Clos de Vougeot Grand Cru</t>
  </si>
  <si>
    <t>S000566</t>
  </si>
  <si>
    <t>Domaine Philippe Charlopin-Parizot Clos Saint Denis Grand Cru</t>
  </si>
  <si>
    <t>S000567</t>
  </si>
  <si>
    <t>S000568</t>
  </si>
  <si>
    <t>Domaine Philippe Charlopin-Parizot Corton-Charlemagne Grand Cru</t>
  </si>
  <si>
    <t>S000569</t>
  </si>
  <si>
    <t>S000570</t>
  </si>
  <si>
    <t>Domaine Philippe Charlopin-Parizot Échezeaux Grand Cru</t>
  </si>
  <si>
    <t>S000571</t>
  </si>
  <si>
    <t>S000572</t>
  </si>
  <si>
    <t>Domaine Philippe Charlopin-Parizot Fixin 'La Cocarde'</t>
  </si>
  <si>
    <t>S000573</t>
  </si>
  <si>
    <t>Domaine Philippe Charlopin-Parizot Gevrey-Chambertin 'Bel Air' Premier Cru</t>
  </si>
  <si>
    <t>S000574</t>
  </si>
  <si>
    <t>Domaine Philippe Charlopin-Parizot Gevrey-Chambertin 'Les Evocelles'</t>
  </si>
  <si>
    <t>S000575</t>
  </si>
  <si>
    <t>S000576</t>
  </si>
  <si>
    <t>S000577</t>
  </si>
  <si>
    <t>Domaine Philippe Charlopin-Parizot Gevrey-Chambertin 'Les Terres Blanches'</t>
  </si>
  <si>
    <t>S000578</t>
  </si>
  <si>
    <t>S000579</t>
  </si>
  <si>
    <t>Domaine Philippe Charlopin-Parizot Gevrey-Chambertin Vieilles Vignes</t>
  </si>
  <si>
    <t>S000580</t>
  </si>
  <si>
    <t>S000581</t>
  </si>
  <si>
    <t>S000582</t>
  </si>
  <si>
    <t>Domaine Philippe Charlopin-Parizot Marsannay Blanc</t>
  </si>
  <si>
    <t>S000583</t>
  </si>
  <si>
    <t>S000584</t>
  </si>
  <si>
    <t>Domaine Philippe Charlopin-Parizot Marsannay</t>
  </si>
  <si>
    <t>S000585</t>
  </si>
  <si>
    <t>S000586</t>
  </si>
  <si>
    <t>Domaine Philippe Charlopin-Parizot Marsannay 'En Montchevenoy'</t>
  </si>
  <si>
    <t>S000587</t>
  </si>
  <si>
    <t>Domaine Philippe Charlopin-Parizot Marsannay 'Les Echezots'</t>
  </si>
  <si>
    <t>S000588</t>
  </si>
  <si>
    <t>Domaine Philippe Charlopin-Parizot Mazis-Chambertin Grand Cru</t>
  </si>
  <si>
    <t>S000589</t>
  </si>
  <si>
    <t>S000590</t>
  </si>
  <si>
    <t>S000591</t>
  </si>
  <si>
    <t>Domaine Philippe Charlopin-Parizot Morey-Saint-Denis</t>
  </si>
  <si>
    <t>S000592</t>
  </si>
  <si>
    <t>S000593</t>
  </si>
  <si>
    <t>Domaine Philippe Charlopin-Parizot Puligny-Montrachet</t>
  </si>
  <si>
    <t>S000594</t>
  </si>
  <si>
    <t>Domaine Philippe Charlopin-Parizot Vosne-Romanée</t>
  </si>
  <si>
    <t>S000595</t>
  </si>
  <si>
    <t>S000596</t>
  </si>
  <si>
    <t>Domaine Philippe Charlopin-Parizot Vosne-Romanée 'En Orveaux' Premier Cru</t>
  </si>
  <si>
    <t>S000597</t>
  </si>
  <si>
    <t>Philippe Pacalet Echézeaux Grand Cru</t>
  </si>
  <si>
    <t>S000598</t>
  </si>
  <si>
    <t>S000599</t>
  </si>
  <si>
    <t>Philippe Pacalet Gevrey-Chambertin</t>
  </si>
  <si>
    <t>S000600</t>
  </si>
  <si>
    <t>Philippe Pacalet Ladoix</t>
  </si>
  <si>
    <t>S000601</t>
  </si>
  <si>
    <t>Château Pichon Longueville Comtesse de Lalande 'Pichon Comtesse Réserve' Pauillac</t>
  </si>
  <si>
    <t>S000602</t>
  </si>
  <si>
    <t>Château Pichon Longueville Comtesse de Lalande Pauillac Deuxième Grand Cru Classé</t>
  </si>
  <si>
    <t>S000603</t>
  </si>
  <si>
    <t>S000604</t>
  </si>
  <si>
    <t>S000605</t>
  </si>
  <si>
    <t>Domaine Boisson-Vadot 'Pierre Boisson' Meursault 'Les Grands Charrons'</t>
  </si>
  <si>
    <t>S000606</t>
  </si>
  <si>
    <t>Domaine Boisson-Vadot 'Pierre Boisson' Meursault 'Les Perchots'</t>
  </si>
  <si>
    <t>S000607</t>
  </si>
  <si>
    <t>Domaine Pierre de Crillon Corton-Charlemagne Grand Cru</t>
  </si>
  <si>
    <t>S000608</t>
  </si>
  <si>
    <t>Domaine Pierre Damoy Chambertin Grand Cru</t>
  </si>
  <si>
    <t>S000609</t>
  </si>
  <si>
    <t>Domaine Pierre Damoy Gevrey-Chambertin 'Clos Tamisot'</t>
  </si>
  <si>
    <t>S000610</t>
  </si>
  <si>
    <t>Domaine Pierre Gelin Fixin</t>
  </si>
  <si>
    <t>S000611</t>
  </si>
  <si>
    <t>Domaine Pierre Gelin Fixin 'Clos Napoleon' Monopole</t>
  </si>
  <si>
    <t>S000612</t>
  </si>
  <si>
    <t>Pierre Girardin Clos de Vougeot Grand Cru</t>
  </si>
  <si>
    <t>S000613</t>
  </si>
  <si>
    <t>Pierre Girardin Echézeaux Grand Cru</t>
  </si>
  <si>
    <t>S000614</t>
  </si>
  <si>
    <t>Pierre Girardin Griotte-Chambertin Grand Cru</t>
  </si>
  <si>
    <t>S000615</t>
  </si>
  <si>
    <t>Pierre Girardin Meursault 'Les Casse-Tetes'</t>
  </si>
  <si>
    <t>S000616</t>
  </si>
  <si>
    <t>Pierre Girardin Meursault 'Les Narvaux'</t>
  </si>
  <si>
    <t>S000617</t>
  </si>
  <si>
    <t>Pierre Girardin Pommard 'Les Grands Epenots' Premier Cru</t>
  </si>
  <si>
    <t>S000618</t>
  </si>
  <si>
    <t>Pierre Moncuit 'Nicole Moncuit' Vieilles Vignes Blanc de Blancs Grand Cru Brut Millesime</t>
  </si>
  <si>
    <t>S000619</t>
  </si>
  <si>
    <t>S000620</t>
  </si>
  <si>
    <t>Pierrick Bouley Bourgogne Cote d'Or Pinot Noir</t>
  </si>
  <si>
    <t>S000621</t>
  </si>
  <si>
    <t>Pierrick Bouley Monthelie 'Aux Fournereaux'</t>
  </si>
  <si>
    <t>S000622</t>
  </si>
  <si>
    <t>Pierrick Bouley Volnay</t>
  </si>
  <si>
    <t>S000623</t>
  </si>
  <si>
    <t>Pierrick Bouley Volnay 'Les Champans' Premier Cru</t>
  </si>
  <si>
    <t>S000624</t>
  </si>
  <si>
    <t>Pierrick Bouley Volnay 'Clos des Chenes' Premier Cru</t>
  </si>
  <si>
    <t>S000625</t>
  </si>
  <si>
    <t>S000626</t>
  </si>
  <si>
    <t>Pierrick Bouley Volnay 'Les Pluchots'</t>
  </si>
  <si>
    <t>S000627</t>
  </si>
  <si>
    <t>Château Pontet-Canet Pauillac Cinquième Grand Cru Classé</t>
  </si>
  <si>
    <t>S000628</t>
  </si>
  <si>
    <t>S000629</t>
  </si>
  <si>
    <t>Château Pouget Margaux Quatrième Grand Cru Classé</t>
  </si>
  <si>
    <t>S000630</t>
  </si>
  <si>
    <t>Château Poujeaux Moulis-en-Médoc</t>
  </si>
  <si>
    <t>S000631</t>
  </si>
  <si>
    <t>Château Prieuré-Lichine Margaux Quatrième Grand Cru Classé</t>
  </si>
  <si>
    <t>S000632</t>
  </si>
  <si>
    <t>S000633</t>
  </si>
  <si>
    <t>Domaine Prieuré Roch Nuits-Saint-Georges 'Clos des Argillières' Premier Cru</t>
  </si>
  <si>
    <t>S000634</t>
  </si>
  <si>
    <t>Puchang Vineyard Clovine Sweet Muscat</t>
  </si>
  <si>
    <t>S000635</t>
  </si>
  <si>
    <t>Domaine Pierre-Yves Colin-Morey Nuits-Saint-Georges 'Aux Boudots' Premier Cru</t>
  </si>
  <si>
    <t>S000636</t>
  </si>
  <si>
    <t>Chateau Quinault L'Enclos</t>
  </si>
  <si>
    <t>S000637</t>
  </si>
  <si>
    <t>Domaine Ramonet Chassagne-Montrachet 'La Boudriotte' Premier Cru</t>
  </si>
  <si>
    <t>S000638</t>
  </si>
  <si>
    <t>Domaine Ramonet Chassagne-Montrachet 'Morgeot' Premier Cru</t>
  </si>
  <si>
    <t>S000639</t>
  </si>
  <si>
    <t>Chateau Rauzan-Segla</t>
  </si>
  <si>
    <t>S000640</t>
  </si>
  <si>
    <t>Domaine René Leclerc Gevrey-Chambertin 'Combes aux Moines' Premier Cru</t>
  </si>
  <si>
    <t>S000641</t>
  </si>
  <si>
    <t>Richard Leroy Les Noels de Montbenault Chenin</t>
  </si>
  <si>
    <t>S000642</t>
  </si>
  <si>
    <t>Domaine Robert Chevillon Nuits-Saint-Georges Vieilles Vignes</t>
  </si>
  <si>
    <t>S000643</t>
  </si>
  <si>
    <t>Domaine Robert Chevillon Nuits-Saint-Georges 'Les Cailles' Premier Cru</t>
  </si>
  <si>
    <t>S000644</t>
  </si>
  <si>
    <t>Domaine Robert Groffier Pere &amp; Fils Bonnes-Mares Grand Cru</t>
  </si>
  <si>
    <t>S000645</t>
  </si>
  <si>
    <t>S000646</t>
  </si>
  <si>
    <t>S000647</t>
  </si>
  <si>
    <t>Domaine Robert Groffier Pere &amp; Fils Bourgogne Pinot Noir</t>
  </si>
  <si>
    <t>S000648</t>
  </si>
  <si>
    <t>S000649</t>
  </si>
  <si>
    <t>S000650</t>
  </si>
  <si>
    <t>Domaine Robert Groffier Père &amp; Fils Chambolle-Musigny 'Les Hauts Doix' Premier Cru</t>
  </si>
  <si>
    <t>S000651</t>
  </si>
  <si>
    <t>Domaine Robert Groffier Père &amp; Fils Chambolle-Musigny 'Les Sentiers' Premier Cru</t>
  </si>
  <si>
    <t>S000652</t>
  </si>
  <si>
    <t>Domaine Robert Groffier Père &amp; Fils Gevrey-Chambertin 'Les Seuvrées'</t>
  </si>
  <si>
    <t>S000653</t>
  </si>
  <si>
    <t>S000654</t>
  </si>
  <si>
    <t>Château Rol Valentin Saint-Émilion Grand Cru</t>
  </si>
  <si>
    <t>S000655</t>
  </si>
  <si>
    <t>Domaine Georges &amp; Christophe Roumier Charmes-Chambertin 'Aux Mazoyères' Grand Cru</t>
  </si>
  <si>
    <t>S000656</t>
  </si>
  <si>
    <t>Château Montrose Tertio de Montrose Saint-Estèphe</t>
  </si>
  <si>
    <t>S000657</t>
  </si>
  <si>
    <t>Jacquesson Lieux-Dits Collection Assortment Case OWC (Discoge: 2022)</t>
  </si>
  <si>
    <t>S000658</t>
  </si>
  <si>
    <t xml:space="preserve">Sena </t>
  </si>
  <si>
    <t>S000659</t>
  </si>
  <si>
    <t>Domaine Sérafin Père &amp; Fils Gevrey-Chambertin</t>
  </si>
  <si>
    <t>S000660</t>
  </si>
  <si>
    <t>Domaine Jean-Paul et Stephane Magnien 'Clos Saint-Denis' Grand Cru</t>
  </si>
  <si>
    <t>S000661</t>
  </si>
  <si>
    <t>Domaine Sylvain Cathiard Nuits-Saint-Georges 'Aux Murgers' Premier Cru</t>
  </si>
  <si>
    <t>S000662</t>
  </si>
  <si>
    <t>Sylvain Cathiard Nuits-Saint-Georges 'Aux Thorey' Premier Cru</t>
  </si>
  <si>
    <t>S000663</t>
  </si>
  <si>
    <t>Sylvain Cathiard Nuits-Saint-Georges 'Aux Murgers' Premier Cru</t>
  </si>
  <si>
    <t>S000664</t>
  </si>
  <si>
    <t>S000665</t>
  </si>
  <si>
    <t>S000666</t>
  </si>
  <si>
    <t>S000667</t>
  </si>
  <si>
    <t>Sylvain Cathiard Vosne-Romanée 'Aux Malconsorts' Premier Cru</t>
  </si>
  <si>
    <t>S000668</t>
  </si>
  <si>
    <t>Sylvain Cathiard Vosne-Romanée 'En Orveaux' Premier Cru</t>
  </si>
  <si>
    <t>S000669</t>
  </si>
  <si>
    <t>Domaine Sylvie Esmonin Bourgogne Rouge 'Cuvée Sylvie'</t>
  </si>
  <si>
    <t>S000670</t>
  </si>
  <si>
    <t>Taittinger 'Collection' Sebastiao Salgado</t>
  </si>
  <si>
    <t>S000671</t>
  </si>
  <si>
    <t>Château Talbot Saint-Julien Quatrième Grand Cru Classé</t>
  </si>
  <si>
    <t>S000672</t>
  </si>
  <si>
    <t>Te Mata Estate 'Alma' Pinot Noir</t>
  </si>
  <si>
    <t>S000673</t>
  </si>
  <si>
    <t>Thomas-Collardot Bourgogne Aligoté</t>
  </si>
  <si>
    <t>S000674</t>
  </si>
  <si>
    <t>Thomas-Collardot Bourgogne 'Les Petits Poiriers'</t>
  </si>
  <si>
    <t>S000675</t>
  </si>
  <si>
    <t>Thomas-Collardot Bourgogne Hautes-Côtes de Beaune</t>
  </si>
  <si>
    <t>S000676</t>
  </si>
  <si>
    <t>Thomas-Collardot Puligny-Montrachet 'Les Nosroyes'</t>
  </si>
  <si>
    <t>S000677</t>
  </si>
  <si>
    <t>Château Tour Saint Christophe Saint-Émilion Grand Cru</t>
  </si>
  <si>
    <t>S000678</t>
  </si>
  <si>
    <t>Château Troplong Mondot Saint-Émilion Premier Grand Cru Classé</t>
  </si>
  <si>
    <t>Château Troplong Mondot</t>
  </si>
  <si>
    <t>S000679</t>
  </si>
  <si>
    <t>Ulysse Collin 'Les Maillons' Blanc de Noirs Extra Brut</t>
  </si>
  <si>
    <t>S000680</t>
  </si>
  <si>
    <t>Domaine Vincent Bouzereau Pommard</t>
  </si>
  <si>
    <t>S000681</t>
  </si>
  <si>
    <t>Domaine Vincent Bouzereau Auxey-Duresses 'Les Bas de Duresses'</t>
  </si>
  <si>
    <t>S000682</t>
  </si>
  <si>
    <t>Domaine Vincent Bouzereau Bourgogne Cote d'Or Pinot Noir</t>
  </si>
  <si>
    <t>S000683</t>
  </si>
  <si>
    <t>Domaine Vincent Bouzereau Coteaux Bourguignons Rouge</t>
  </si>
  <si>
    <t>S000684</t>
  </si>
  <si>
    <t>Domaine Vincent Bouzereau Meursault</t>
  </si>
  <si>
    <t>S000685</t>
  </si>
  <si>
    <t>Domaine de la Vougeraie Batard-Montrachet Grand Cru</t>
  </si>
  <si>
    <t>S000686</t>
  </si>
  <si>
    <t>Domaine de la Vougeraie Clos-de-Vougeot Grand Cru</t>
  </si>
  <si>
    <t>S000687</t>
  </si>
  <si>
    <t>Domaine de la Vougeraie Corton Clos du Roi Grand Cru</t>
  </si>
  <si>
    <t>S000688</t>
  </si>
  <si>
    <t>Domaine de la Vougeraie Bonnes-Mares Grand Cru</t>
  </si>
  <si>
    <t>S000689</t>
  </si>
  <si>
    <t>S000690</t>
  </si>
  <si>
    <t>S000691</t>
  </si>
  <si>
    <t>Domaine de la Vougeraie Charmes-Chambertin 'Les Mazoyères' Grand Cru</t>
  </si>
  <si>
    <t>S000692</t>
  </si>
  <si>
    <t>Domaine de la Vougeraie Chassagne-Montrachet Morgeot 'Clos de la Chapelle' Blanc</t>
  </si>
  <si>
    <t>S000693</t>
  </si>
  <si>
    <t>S000694</t>
  </si>
  <si>
    <t>S000695</t>
  </si>
  <si>
    <t>S000696</t>
  </si>
  <si>
    <t>Domaine de la Vougeraie Gevrey-Chambertin</t>
  </si>
  <si>
    <t>S000697</t>
  </si>
  <si>
    <t>Domaine de la Vougeraie Gevrey-Chambertin 'Les Evocelles'</t>
  </si>
  <si>
    <t>S000698</t>
  </si>
  <si>
    <t>S000699</t>
  </si>
  <si>
    <t>S000700</t>
  </si>
  <si>
    <t>Domaine de la Vougeraie Nuits-Saint-Georges 'Les Damodes' Premier Cru</t>
  </si>
  <si>
    <t>S000701</t>
  </si>
  <si>
    <t>Domaine de la Vougeraie Vougeot 'Les Cras' Premier Cru</t>
  </si>
  <si>
    <t>S000702</t>
  </si>
  <si>
    <t>S000703</t>
  </si>
  <si>
    <t>Weingut Keller 'Dalsheimer Hubacker' Riesling Grosses Gewächs</t>
  </si>
  <si>
    <t>S000704</t>
  </si>
  <si>
    <t>Weingut Keller Westhofener Brunnenhäuschen 'Abts Erde' Riesling Kabinett</t>
  </si>
  <si>
    <t>8.5%</t>
  </si>
  <si>
    <t>Medium-Sweet</t>
  </si>
  <si>
    <t>S000705</t>
  </si>
  <si>
    <t>Weingut Keller Westhofener Kirchspiel Riesling Grosses Gewächs</t>
  </si>
  <si>
    <t>S000706</t>
  </si>
  <si>
    <t>Weingut Rappenhof 'Herrenberg' Riesling Grosses Gewächs</t>
  </si>
  <si>
    <t>S000707</t>
  </si>
  <si>
    <t>Weingut Rappenhof 'Niersteiner Pettenthal' Riesling Auslese</t>
  </si>
  <si>
    <t>S000708</t>
  </si>
  <si>
    <t>Benoit Michel Extra Brut Millesime</t>
  </si>
  <si>
    <t>S000709</t>
  </si>
  <si>
    <t>Benoit Michel 'Esprit de Cave' Chardonnay Extra Brut</t>
  </si>
  <si>
    <t>S000710</t>
  </si>
  <si>
    <t xml:space="preserve">Guy Michel &amp; Fils Brut Millesime </t>
  </si>
  <si>
    <t>S000711</t>
  </si>
  <si>
    <t>Waris et Filles 'Premices' Brut Grand Cru</t>
  </si>
  <si>
    <t>S000712</t>
  </si>
  <si>
    <t>Waris et Filles 'Heritage' Brut</t>
  </si>
  <si>
    <t>Mineral, Honey</t>
  </si>
  <si>
    <t>S000713</t>
  </si>
  <si>
    <t>Waris et Filles Blanc de Noirs Brut</t>
  </si>
  <si>
    <t>S000714</t>
  </si>
  <si>
    <t>S000715</t>
  </si>
  <si>
    <t>S000716</t>
  </si>
  <si>
    <t>Domaine De La Choupette Bourgogne Côte d'Or Rouge</t>
  </si>
  <si>
    <t>S000717</t>
  </si>
  <si>
    <t>Domaine De La Choupette Maranges Vieilles Vignes</t>
  </si>
  <si>
    <t>S000718</t>
  </si>
  <si>
    <t>S000719</t>
  </si>
  <si>
    <t>Domaine De La Choupette Santenay 'Commes Dessus'</t>
  </si>
  <si>
    <t>S000720</t>
  </si>
  <si>
    <t>S000721</t>
  </si>
  <si>
    <t>Domaine De La Choupette Santenay Vieilles Vignes Rouge</t>
  </si>
  <si>
    <t>S000722</t>
  </si>
  <si>
    <t>Domaine De La Choupette Santenay 'La Comme' Premier Cru</t>
  </si>
  <si>
    <t>S000723</t>
  </si>
  <si>
    <t>S000724</t>
  </si>
  <si>
    <t>Domaine De La Choupette Santenay 'Clos Rousseau' Premier Cru</t>
  </si>
  <si>
    <t>S000725</t>
  </si>
  <si>
    <t>S000726</t>
  </si>
  <si>
    <t>Domaine De La Choupette Chassagne-Montrachet 'La Platière'</t>
  </si>
  <si>
    <t>S000727</t>
  </si>
  <si>
    <t>Domaine De La Choupette Chassagne-Montrachet 'Morgeot' Premier Cru</t>
  </si>
  <si>
    <t>S000728</t>
  </si>
  <si>
    <t>Domaine De La Choupette Bourgogne Côte d'Or Blanc</t>
  </si>
  <si>
    <t>S000729</t>
  </si>
  <si>
    <t>Domaine De La Choupette Santenay 'Saint Jean' Chardonnay</t>
  </si>
  <si>
    <t>S000730</t>
  </si>
  <si>
    <t>S000731</t>
  </si>
  <si>
    <t>Domaine De La Choupette Puligny-Montrachet Vieilles Vignes</t>
  </si>
  <si>
    <t>S000732</t>
  </si>
  <si>
    <t>Domaine De La Choupette Puligny-Montrachet 'Les Chalumaux' Premier Cru</t>
  </si>
  <si>
    <t>S000733</t>
  </si>
  <si>
    <t>S000734</t>
  </si>
  <si>
    <t>Domaine De La Choupette Puligny-Montrachet 'Sous Le Puits' Premier Cru</t>
  </si>
  <si>
    <t>S000735</t>
  </si>
  <si>
    <t>S000736</t>
  </si>
  <si>
    <t>Domaine De La Choupette Puligny-Montrachet 'La Garenne' Premier Cru</t>
  </si>
  <si>
    <t>S000737</t>
  </si>
  <si>
    <t>S000738</t>
  </si>
  <si>
    <t>S000739</t>
  </si>
  <si>
    <t>Domaine Laboureau Bourgogne</t>
  </si>
  <si>
    <t>S000740</t>
  </si>
  <si>
    <t>S000741</t>
  </si>
  <si>
    <t>Domaine Laboureau Chorey-lès-Beaune</t>
  </si>
  <si>
    <t>S000742</t>
  </si>
  <si>
    <t>S000743</t>
  </si>
  <si>
    <t>Domaine Laboureau Pernand-Vergelesses</t>
  </si>
  <si>
    <t>S000744</t>
  </si>
  <si>
    <t>S000745</t>
  </si>
  <si>
    <t>Domaine Laboureau Volnay</t>
  </si>
  <si>
    <t>S000746</t>
  </si>
  <si>
    <t>Domaine Laboureau Monthelie Premier Cru</t>
  </si>
  <si>
    <t>S000747</t>
  </si>
  <si>
    <t>S000748</t>
  </si>
  <si>
    <t>Domaine Laboureau Monthelie</t>
  </si>
  <si>
    <t>S000749</t>
  </si>
  <si>
    <t>Domaine Laboureau Pernand-Vergelesses Premier Cru</t>
  </si>
  <si>
    <t>S000750</t>
  </si>
  <si>
    <t>Domaine Laboureau Pommard</t>
  </si>
  <si>
    <t>S000751</t>
  </si>
  <si>
    <t>Domaine Laboureau Volnay Premier Cru</t>
  </si>
  <si>
    <t>S000752</t>
  </si>
  <si>
    <t>Domaine Laboureau Volnay 'Les Lurets' Premier Cru</t>
  </si>
  <si>
    <t>S000753</t>
  </si>
  <si>
    <t>Domaine Laboureau Aligoté</t>
  </si>
  <si>
    <t>S000754</t>
  </si>
  <si>
    <t>Domaine Laboureau Bourgogne Blanc</t>
  </si>
  <si>
    <t>S000755</t>
  </si>
  <si>
    <t>S000756</t>
  </si>
  <si>
    <t>Domaine Laboureau Monthelie Blanc</t>
  </si>
  <si>
    <t>S000757</t>
  </si>
  <si>
    <t>Domaine Laboureau Pernand-Vergelesses Blanc</t>
  </si>
  <si>
    <t>S000758</t>
  </si>
  <si>
    <t>Domaine Laboureau Meursault</t>
  </si>
  <si>
    <t>S000759</t>
  </si>
  <si>
    <t>Château Canon Chaigneau Lalande-de-Pomerol</t>
  </si>
  <si>
    <t>S000760</t>
  </si>
  <si>
    <t>Château Puybarbe Gaia de Château Puybarbe</t>
  </si>
  <si>
    <t>S000761</t>
  </si>
  <si>
    <t>Loudenne 'Les Jardins' Rouge</t>
  </si>
  <si>
    <t>S000762</t>
  </si>
  <si>
    <t>Loudenne 'Le Château' Médoc Rouge</t>
  </si>
  <si>
    <t>S000763</t>
  </si>
  <si>
    <t>S000764</t>
  </si>
  <si>
    <t>S000765</t>
  </si>
  <si>
    <t>S000766</t>
  </si>
  <si>
    <t>S000767</t>
  </si>
  <si>
    <t>S000768</t>
  </si>
  <si>
    <t>Loudenne 'Les Jardins' Blanc</t>
  </si>
  <si>
    <t>S000769</t>
  </si>
  <si>
    <t>S000770</t>
  </si>
  <si>
    <t>Loudenne 'Le Château' Bordeaux Blanc</t>
  </si>
  <si>
    <t>S000771</t>
  </si>
  <si>
    <t>Ania Asti Spumante DOCG</t>
  </si>
  <si>
    <t>S000772</t>
  </si>
  <si>
    <t>Corte Moschina Valpolicella DOC</t>
  </si>
  <si>
    <t>S000773</t>
  </si>
  <si>
    <t>Corte Moschina Colle Alto Cabernet IGT Veneto</t>
  </si>
  <si>
    <t>S000774</t>
  </si>
  <si>
    <t>Corte Moschina Valpolicella Ripasso DOC Superiore</t>
  </si>
  <si>
    <t>S000775</t>
  </si>
  <si>
    <t>Corte Moschina Amarone della Valpolicella DOCG</t>
  </si>
  <si>
    <t>S000776</t>
  </si>
  <si>
    <t>Corte Moschina 'Niero' Amarone della Valpolicella DOCG</t>
  </si>
  <si>
    <t>S000777</t>
  </si>
  <si>
    <t>S000778</t>
  </si>
  <si>
    <t>Corte Moschina 'Evaos' Soave DOC Ronca Monte Calvarina</t>
  </si>
  <si>
    <t>S000779</t>
  </si>
  <si>
    <t>Corte Moschina 'Granetto' Pinot Grigio DOC Delle Venezie</t>
  </si>
  <si>
    <t>S000780</t>
  </si>
  <si>
    <t>Corte Moschina 'Roncatae' Soave DOC</t>
  </si>
  <si>
    <t>S000781</t>
  </si>
  <si>
    <t>S000782</t>
  </si>
  <si>
    <t>Corte Moschina 'I Tarai' Soave Superiore DOCG</t>
  </si>
  <si>
    <t>S000783</t>
  </si>
  <si>
    <t>S000784</t>
  </si>
  <si>
    <t>Corte Moschina 'Incanto' Recioto di Soave DOCG</t>
  </si>
  <si>
    <t>S000785</t>
  </si>
  <si>
    <t>Corte Volponi Amarone della Valpolicella Classico DOCG</t>
  </si>
  <si>
    <t>S000786</t>
  </si>
  <si>
    <t>La Sala Chianti Classico DOCG</t>
  </si>
  <si>
    <t>S000787</t>
  </si>
  <si>
    <t>La Sala Chianti Classico Riserva DOCG</t>
  </si>
  <si>
    <t>S000788</t>
  </si>
  <si>
    <t>La Sala Toscana 'Campo all'albero' Super Tuscan IGT</t>
  </si>
  <si>
    <t>S000789</t>
  </si>
  <si>
    <t>La Sala 'Il Torriano' Chianti Classico Gran Selezione DOCG</t>
  </si>
  <si>
    <t>S000790</t>
  </si>
  <si>
    <t>S000791</t>
  </si>
  <si>
    <t>Naonis Prosecco Spumante Extra Dry</t>
  </si>
  <si>
    <t>S000792</t>
  </si>
  <si>
    <t>S000793</t>
  </si>
  <si>
    <t>Naonis Prosecco Rosé</t>
  </si>
  <si>
    <t>S000794</t>
  </si>
  <si>
    <t>Naonis Prosecco Spumante Valdobbiadene DOCG Extra Dry</t>
  </si>
  <si>
    <t>2024</t>
  </si>
  <si>
    <t>S000795</t>
  </si>
  <si>
    <t>Naonis Pinot Grigio</t>
  </si>
  <si>
    <t>S000796</t>
  </si>
  <si>
    <t>Piazzo Barbera d'Alba Superiore Mugiot</t>
  </si>
  <si>
    <t>S000797</t>
  </si>
  <si>
    <t>Piazzo Barbaresco</t>
  </si>
  <si>
    <t>S000798</t>
  </si>
  <si>
    <t>Piazzo 'Frati' Barbaresco DOCG</t>
  </si>
  <si>
    <t>S000799</t>
  </si>
  <si>
    <t>Piazzo 'Sottocastello di Novello' Barolo DOCG</t>
  </si>
  <si>
    <t>S000800</t>
  </si>
  <si>
    <t>Piazzo Nervo 'Vigna Giaia' Barbaresco Riserva</t>
  </si>
  <si>
    <t>S000801</t>
  </si>
  <si>
    <t>S000802</t>
  </si>
  <si>
    <t>S000803</t>
  </si>
  <si>
    <t>Piazzo Massim Spumante Metodo Classico Pas Dosé</t>
  </si>
  <si>
    <t>S000804</t>
  </si>
  <si>
    <t>Piazzo Moscato d'Asti DOCG</t>
  </si>
  <si>
    <t>S000805</t>
  </si>
  <si>
    <t>Piazzo Roero Arneis DOCG</t>
  </si>
  <si>
    <t>S000806</t>
  </si>
  <si>
    <t>Viotti Brachetto d'Acqui Cartos</t>
  </si>
  <si>
    <t>S000807</t>
  </si>
  <si>
    <t>Ca' de Medici Malvasia Emilia Spumante Aromatica</t>
  </si>
  <si>
    <t>Off-Dry</t>
  </si>
  <si>
    <t>S000808</t>
  </si>
  <si>
    <t>Ca' de Medici Reggiano Lambrusco Scuro Dry</t>
  </si>
  <si>
    <t>S000809</t>
  </si>
  <si>
    <t>Ca' de Medici Remigiotto Reggiano Lambrusco Dolce Semi-Sweet</t>
  </si>
  <si>
    <t>S000810</t>
  </si>
  <si>
    <t>S000811</t>
  </si>
  <si>
    <t>Angel Wings Star Crossing Shiraz</t>
  </si>
  <si>
    <t>S000812</t>
  </si>
  <si>
    <t>Angel Wings Star Crossing Chardonnay</t>
  </si>
  <si>
    <t>S000813</t>
  </si>
  <si>
    <t>Angel Wings Star Crossing Sauvignon Blanc</t>
  </si>
  <si>
    <t>Sauvignon Blanc</t>
  </si>
  <si>
    <t>S000814</t>
  </si>
  <si>
    <t>Eight at the Gate Single Vineyard Cabernet Sauvignon</t>
  </si>
  <si>
    <t>S000815</t>
  </si>
  <si>
    <t>Eight at the Gate Single Vineyard Cabernet Shiraz</t>
  </si>
  <si>
    <t>S000816</t>
  </si>
  <si>
    <t>Eight at the Gate Single Vineyard Family Selection Shiraz</t>
  </si>
  <si>
    <t>S000817</t>
  </si>
  <si>
    <t>Eight at the Gate Single Vineyard Chardonnay</t>
  </si>
  <si>
    <t>S000818</t>
  </si>
  <si>
    <t>Sheila Pink Moscato</t>
  </si>
  <si>
    <t>S000819</t>
  </si>
  <si>
    <t>Dr. Pauly-Bergweiler Brauneberger Juffer Sonnenuhr Riesling Kabinett</t>
  </si>
  <si>
    <t>Brauneberg</t>
  </si>
  <si>
    <t>Kabinett</t>
  </si>
  <si>
    <t>Dr. Pauly-Bergweiler</t>
  </si>
  <si>
    <t>Dr. Pauly-Bergweiler is a historic family-run estate in the heart of the Mosel, renowned for its dedication to crafting expressive Rieslings from some of the region’s most prestigious vineyards. The winery’s roots trace back to the 16th century, and today it is celebrated for its meticulous vineyard management and respect for Mosel’s unique slate soils. Their philosophy centers on minimal intervention and allowing the terroir to shine through in every bottle. The estate’s wines are prized for their elegance, purity, and remarkable aging potential.</t>
  </si>
  <si>
    <t>Stefan Pauly</t>
  </si>
  <si>
    <t>Stefan Pauly, the current winemaker, represents the latest generation of the Pauly family, bringing both tradition and innovation to the estate. He is known for his deep respect for the Mosel terroir and his commitment to sustainable viticulture. Stefan’s careful approach in the cellar ensures that each wine reflects the unique character of its vineyard origin.</t>
  </si>
  <si>
    <t>Green apple, Lime, White peach</t>
  </si>
  <si>
    <t>Slate, Wet stone, Honeysuckle</t>
  </si>
  <si>
    <t>Petrol, Honey, Dried apricot</t>
  </si>
  <si>
    <t>The label features a classic and elegant design, with the Dr. Pauly-Bergweiler crest prominently displayed in gold and green hues. Traditional German script is used for the winery name, evoking a sense of heritage and authenticity. The vineyard name and vintage are clearly presented, framed by ornate borders that reflect the estate’s long history. Subtle imagery of the Mosel landscape may be included, emphasizing the wine’s prestigious origin.</t>
  </si>
  <si>
    <t>布劳内贝格·尤弗尔·日晷雷司令珍藏白葡萄酒（2000年）——‘Brauneberger Juffer Sonnenuhr’意为‘布劳内贝格少女日晷’，指的是莫塞尔河畔著名的葡萄园，因其优越的朝向和日照条件而得名。‘Kabinett’代表德国葡萄酒等级中最轻盈、优雅的风格，适合早饮。The name 'Brauneberger Juffer Sonnenuhr' refers to a celebrated vineyard in the Mosel, named for its sundial ('Sonnenuhr') and the 'Juffer' or 'maiden' who once owned the land. 'Kabinett' denotes a light, delicate style of Riesling, crafted from perfectly ripe grapes and ideal for early enjoyment.</t>
  </si>
  <si>
    <t>S000820</t>
  </si>
  <si>
    <t>Dr. Pauly-Bergweiler Brauneberger Juffer Sonnenuhr Riesling Spatlese</t>
  </si>
  <si>
    <t>1997</t>
  </si>
  <si>
    <t>Spätlese</t>
  </si>
  <si>
    <t>Dr. Pauly-Bergweiler is a historic family-run estate in the heart of the Mosel, renowned for its dedication to producing world-class Rieslings. The winery's vineyards are located on some of the region's most prestigious slopes, including the famed Brauneberger Juffer Sonnenuhr. Their philosophy centers on expressing the unique terroir of the Mosel through meticulous vineyard management and minimal intervention in the cellar. Generations of expertise and a passion for quality have made Dr. Pauly-Bergweiler a benchmark for Mosel Riesling.</t>
  </si>
  <si>
    <t>Stefan Pauly, the current winemaker, represents the new generation of the Pauly family, bringing fresh energy and innovation while respecting tradition. He is known for his precise, terroir-driven approach and commitment to sustainable viticulture. Stefan's wines are celebrated for their clarity, elegance, and ability to age gracefully.</t>
  </si>
  <si>
    <t>Citrus, Green apple, Peach</t>
  </si>
  <si>
    <t>Honey, Slate, Floral</t>
  </si>
  <si>
    <t>Petrol, Dried apricot, Marmalade</t>
  </si>
  <si>
    <t>The label features a classic, elegant design with gold and green accents, reflecting the prestige of the Brauneberger Juffer Sonnenuhr vineyard. Traditional German script is used for the winery name, while the vineyard and classification are highlighted in clear, bold lettering. The imagery often includes the iconic sundial (Sonnenuhr) motif, symbolizing the vineyard's historic landmark. The overall aesthetic conveys both heritage and refinement.</t>
  </si>
  <si>
    <t>布劳内贝格·尤弗尔日晷雷司令晚收白葡萄酒——‘Brauneberger Juffer Sonnenuhr’意为‘布劳内贝格少女日晷’，指的是摩泽尔河畔著名的葡萄园，以其陡峭的板岩坡地和标志性日晷而闻名。‘Spätlese’表示晚收，意味着葡萄在成熟后期采摘，带来更高的糖分和复杂度。This wine’s name tells the story of its origin: the Brauneberger Juffer Sonnenuhr vineyard, famed for its steep slate slopes and the historic sundial that marks its center. ‘Spätlese’ denotes a late harvest, resulting in a wine with heightened sweetness and aromatic complexity.</t>
  </si>
  <si>
    <t>S000821</t>
  </si>
  <si>
    <t>Dr. Pauly-Bergweiler is a historic family estate in the heart of the Mosel, renowned for its dedication to producing world-class Rieslings. The winery's vineyards are situated on steep, slate-rich slopes along the Mosel River, which impart a unique minerality and elegance to the wines. With a tradition dating back to the 16th century, the estate combines time-honored methods with modern precision, focusing on sustainable viticulture and minimal intervention. Their wines are celebrated for their purity, balance, and ability to age gracefully.</t>
  </si>
  <si>
    <t>Stefan Pauly, the current winemaker, represents the latest generation of the Pauly family. He is known for his meticulous attention to detail and deep respect for the Mosel terroir. Stefan's philosophy centers on expressing the unique character of each vineyard site, resulting in wines of remarkable finesse and complexity.</t>
  </si>
  <si>
    <t>Citrus, Green Apple, Peach</t>
  </si>
  <si>
    <t>Honey, Slate, White Flowers</t>
  </si>
  <si>
    <t>Petrol, Dried Apricot, Almond</t>
  </si>
  <si>
    <t>The label features classic German wine design elements, with elegant script typography and a crest symbolizing the estate's heritage. Soft gold and green hues evoke the Mosel landscape, while detailed vineyard imagery highlights the Brauneberger Juffer Sonnenuhr site. The layout is traditional yet refined, reflecting the wine's prestigious origin and timeless appeal.</t>
  </si>
  <si>
    <t>布劳内贝格·尤弗·日晷雷司令晚收白葡萄酒。Brauneberger Juffer Sonnenuhr refers to a famous vineyard in the Mosel region, with 'Sonnenuhr' meaning 'sundial' in German, indicating a prime, sun-drenched parcel ideal for ripening Riesling grapes. The name tells the story of a unique microclimate and historical vineyard, where the sundial has long marked the passage of time and the optimal ripening of grapes. 这个名字讲述了摩泽尔地区著名葡萄园的故事，‘日晷’象征着阳光充足的地块，非常适合雷司令葡萄的成熟，也代表着葡萄园悠久的历史和独特的风土。</t>
  </si>
  <si>
    <t>S000822</t>
  </si>
  <si>
    <t>Dr. Pauly-Bergweiler Brauneberger Juffer Riesling Spatlese</t>
  </si>
  <si>
    <t>Dr. Pauly-Bergweiler is a historic family-owned estate located in the heart of the Mosel Valley, renowned for its exceptional Rieslings. The winery's vineyards are situated on steep, slate-rich slopes along the Mosel River, which impart a unique minerality and elegance to the wines. With a winemaking tradition dating back to the 16th century, Dr. Pauly-Bergweiler is dedicated to sustainable viticulture and meticulous craftsmanship. Their wines are celebrated for their purity, balance, and ability to age gracefully.</t>
  </si>
  <si>
    <t>The winemaking team at Dr. Pauly-Bergweiler is known for their deep respect for Mosel terroir and a commitment to expressing the unique character of each vineyard site. They employ traditional methods combined with modern precision to craft wines that are both expressive and refined. Their philosophy centers on minimal intervention, allowing the Riesling grape and the Mosel's distinctive slate soils to shine.</t>
  </si>
  <si>
    <t>The label of Dr. Pauly-Bergweiler Brauneberger Juffer Riesling Spätlese features classic German wine aesthetics, with elegant script typography and a detailed crest symbolizing the estate's heritage. The color palette typically includes gold and green tones, reflecting both the prestige and freshness of the wine. The vineyard name 'Brauneberger Juffer' is prominently displayed, emphasizing the wine's esteemed origin. Ornate borders and traditional motifs evoke a sense of history and authenticity.</t>
  </si>
  <si>
    <t>布劳内贝格·朱弗雷司令晚收葡萄酒（Brauneberger Juffer Riesling Spätlese）——“朱弗”是摩泽尔地区著名的葡萄园名字，意为“少女”，象征着葡萄园的优雅与纯净。Spätlese表示晚收，意味着葡萄在成熟度更高时采摘，带来更丰富的甜美和复杂度。Brauneberger Juffer is one of the Mosel's most celebrated vineyards, named 'Juffer' (meaning 'maiden' in German) to reflect the vineyard's grace and purity. 'Spätlese' denotes a late harvest, resulting in a wine with greater ripeness, sweetness, and complexity.</t>
  </si>
  <si>
    <t>S000823</t>
  </si>
  <si>
    <t>Dr. Pauly-Bergweiler Brauneberger Juffer Riesling Auslese</t>
  </si>
  <si>
    <t>S000824</t>
  </si>
  <si>
    <t>Dr. Pauly-Bergweiler Brauneberger Juffer Sonnenuhr Riesling Auslese</t>
  </si>
  <si>
    <t>1976</t>
  </si>
  <si>
    <t>S000825</t>
  </si>
  <si>
    <t>Peter Meyer Mosel Riesling</t>
  </si>
  <si>
    <t>Petrol, Honey</t>
  </si>
  <si>
    <t>S000826</t>
  </si>
  <si>
    <t>Allan Scott Pinot Noir</t>
  </si>
  <si>
    <t>Marlborough</t>
  </si>
  <si>
    <t>S000827</t>
  </si>
  <si>
    <t>Allan Scott Cecilia Brut</t>
  </si>
  <si>
    <t>S000828</t>
  </si>
  <si>
    <t>Aroha Bay Sauvignon Blanc</t>
  </si>
  <si>
    <t>S000829</t>
  </si>
  <si>
    <t>Allan Scott Estate Sauvignon Blanc</t>
  </si>
  <si>
    <t>S000830</t>
  </si>
  <si>
    <t>Allan Scott Black Label Chardonnay</t>
  </si>
  <si>
    <t>S000831</t>
  </si>
  <si>
    <t>Allan Scott Riesling</t>
  </si>
  <si>
    <t>Jasmine, White Flowers, Mineral</t>
  </si>
  <si>
    <t>S000832</t>
  </si>
  <si>
    <t>Allan Scott Black Label Sauvignon Blanc</t>
  </si>
  <si>
    <t>S000833</t>
  </si>
  <si>
    <t>Misty Cove Landmark Pinot Noir</t>
  </si>
  <si>
    <t>Misty Cove</t>
  </si>
  <si>
    <t>S000834</t>
  </si>
  <si>
    <t>Misty Cove Landmark Sauvignon Blanc</t>
  </si>
  <si>
    <t>S000835</t>
  </si>
  <si>
    <t>Misty Cove Landmark Grüner Veltliner</t>
  </si>
  <si>
    <t>Grüner Veltliner</t>
  </si>
  <si>
    <t>Misty Cove is a family-owned winery based in Marlborough, New Zealand, renowned for its commitment to sustainable viticulture and expressive wines. The winery draws inspiration from the region's unique terroir, characterized by cool maritime influences and stony soils that impart freshness and vibrancy to their wines. Misty Cove's philosophy centers on minimal intervention, allowing the natural character of the grapes to shine through. Their Landmark series highlights exceptional parcels and showcases the diversity of Marlborough's vineyards.</t>
  </si>
  <si>
    <t>Green apple, White pepper, Citrus</t>
  </si>
  <si>
    <t>Herbs, Stone fruit, Floral</t>
  </si>
  <si>
    <t>The Misty Cove Landmark label features elegant, modern typography with a clean white background, accented by subtle gold and green detailing. The design incorporates imagery of misty landscapes, evoking the cool, fog-laden mornings of Marlborough. The label's minimalist aesthetic reflects the winery's focus on purity and terroir expression. The overall presentation is sophisticated yet approachable, appealing to both casual drinkers and connoisseurs.</t>
  </si>
  <si>
    <t>Misty Cove Landmark Gruner Veltliner 2022 的中文名称为“雾湾地标绿维特利纳白葡萄酒2022”。‘Misty Cove’意为‘雾湾’，象征着新西兰马尔堡地区清晨的薄雾和独特的气候条件；‘Landmark’代表着酒庄精选的标志性葡萄园地块；‘Gruner Veltliner’是奥地利著名的白葡萄品种，在新西兰展现出独特风味。The name 'Misty Cove' evokes the misty mornings and maritime climate of Marlborough, while 'Landmark' signifies a wine crafted from a distinguished vineyard site. 'Gruner Veltliner' highlights the winery's innovative spirit in cultivating this classic Austrian grape in New Zealand's terroir.</t>
  </si>
  <si>
    <t>S000836</t>
  </si>
  <si>
    <t>Misty Cove Landmark Gewürztraminer</t>
  </si>
  <si>
    <t>Gewürztraminer</t>
  </si>
  <si>
    <t>Misty Cove is a family-owned winery in Marlborough, New Zealand, renowned for its commitment to sustainable viticulture and expressive wines. The estate is situated in the heart of Marlborough’s premium grape-growing region, benefiting from cool maritime influences and abundant sunshine. Misty Cove’s philosophy centers on minimal intervention, allowing the unique terroir to shine through in every bottle. Their wines are celebrated for their vibrant fruit character and purity.</t>
  </si>
  <si>
    <t>The winemaking team at Misty Cove is dedicated to crafting wines that reflect the essence of Marlborough’s terroir. With a focus on innovation and respect for tradition, they carefully select grapes and employ gentle winemaking techniques to preserve aromatic intensity and freshness. Their passion for quality is evident in every vintage.</t>
  </si>
  <si>
    <t>Lychee, Rose Petal, Tropical Fruit</t>
  </si>
  <si>
    <t>Ginger, Spices, Citrus Peel</t>
  </si>
  <si>
    <t>The Misty Cove Landmark Gewurztraminer label features elegant, modern typography with a clean white background, accented by subtle gold and silver detailing. The design incorporates imagery of misty landscapes, evoking the cool, foggy mornings of Marlborough. The label’s minimalist aesthetic reflects the winery’s focus on purity and authenticity, while the Landmark series branding is highlighted with a distinctive emblem.</t>
  </si>
  <si>
    <t>Misty Cove Landmark Gewurztraminer 2024 的中文名称为“雾湾地标琼瑶浆白葡萄酒2024”。‘Misty Cove’象征着新西兰马尔堡地区清晨的薄雾，‘Landmark’代表酒庄的标志性系列，‘Gewurztraminer’是芳香型白葡萄品种。这个名字讲述了酒庄以独特地理环境和标志性风格，酿造出具有代表性的琼瑶浆葡萄酒。&lt;br&gt;‘Misty Cove’ refers to the misty mornings typical of Marlborough, New Zealand, while ‘Landmark’ signifies the winery’s flagship range. ‘Gewurztraminer’ highlights the aromatic grape variety. The name tells the story of a wine crafted to showcase the region’s unique climate and the winery’s signature style.</t>
  </si>
  <si>
    <t>S000837</t>
  </si>
  <si>
    <t>Misty Cove Landmark Riesling</t>
  </si>
  <si>
    <t>Misty Cove is a family-owned winery in Marlborough, New Zealand, renowned for its dedication to sustainable viticulture and expressive wines. The estate is situated in one of the world's premier cool-climate wine regions, where the unique terroir imparts vibrant acidity and purity of fruit. Misty Cove's philosophy centers on minimal intervention, allowing the natural character of the grapes and land to shine through. Their wines are celebrated for their freshness, elegance, and true sense of place.</t>
  </si>
  <si>
    <t>Citrus, Lime, red and green apple, pear and lemon</t>
  </si>
  <si>
    <t>The Misty Cove Landmark Riesling label features a modern, minimalist design with soft hues of blue and green, evoking the misty landscapes of Marlborough. Elegant typography highlights the wine's name, while subtle imagery of rolling hills and vineyards adds a sense of place. The label's clean lines and understated graphics reflect the winery's commitment to purity and quality. A touch of silver foil lends a premium feel, making the bottle visually striking on the shelf.</t>
  </si>
  <si>
    <t>Misty Cove Landmark Marlborough Riesling 2024 的中文名为“雾湾地标马尔堡雷司令白葡萄酒2024”。‘Misty Cove’象征着新西兰马尔堡地区清晨的薄雾，代表着葡萄园独特的气候和自然环境；‘Landmark’意为地标，强调这款酒在酒庄中的重要地位；‘Riesling’则是葡萄品种，展现出清新、纯净的风格。英文解释：The name 'Misty Cove' evokes the misty mornings that blanket the Marlborough vineyards, highlighting the region's cool climate and unique terroir. 'Landmark' signifies the wine's flagship status within the winery's portfolio, while 'Riesling' denotes the grape variety known for its vibrant acidity and aromatic complexity.</t>
  </si>
  <si>
    <t>S000838</t>
  </si>
  <si>
    <t>Misty Cove Waihopai Limited Edition</t>
  </si>
  <si>
    <t>Waihopai Valley</t>
  </si>
  <si>
    <t>Misty Cove is a family-owned winery located in the heart of Marlborough, New Zealand, renowned for its expressive and vibrant Sauvignon Blancs. The winery is deeply connected to the unique terroir of the Waihopai Valley, where cool maritime influences and stony soils create wines of remarkable freshness and intensity. Misty Cove is committed to sustainable viticulture and minimal intervention winemaking, allowing the natural character of the region to shine through. Their limited edition releases showcase the best parcels and the passion of the winemaking team.</t>
  </si>
  <si>
    <t>The winemaking team at Misty Cove is dedicated to capturing the essence of Marlborough's terroir in every bottle. With a focus on sustainable practices and innovative techniques, they strive to produce wines that are both expressive and true to their origins. Their collaborative approach ensures each vintage reflects the unique conditions of the Waihopai Valley.</t>
  </si>
  <si>
    <t>Citrus, Passionfruit, Gooseberry, wild strawberry, rhubarb and sun-dried tomato pesto</t>
  </si>
  <si>
    <t>Herbaceous, Green Pepper, Fresh Cut Grass</t>
  </si>
  <si>
    <t>Mineral, Wet Stone</t>
  </si>
  <si>
    <t>The label of Misty Cove Waihopai Limited Edition White 2022 features elegant, modern typography set against a clean white background, evoking the purity and freshness of the wine. Subtle silver or pale green accents may reference the misty valleys and lush vineyards of Marlborough. The design is minimalist yet sophisticated, with the 'Limited Edition' marking adding a sense of exclusivity. The overall aesthetic is contemporary, appealing to both collectors and casual wine lovers.</t>
  </si>
  <si>
    <t>中文名：神秘湾怀霍派限量版白葡萄酒2022。'Misty Cove'意为“神秘的海湾”，象征着新西兰马尔堡地区清晨的薄雾和独特的自然环境。'Waihopai'是葡萄园所在的山谷名称，代表着该酒款的独特产地。限量版则强调了这款酒的稀有和珍贵。Misty Cove refers to the mystical, fog-laden bays of Marlborough, capturing the essence of the region's cool, misty mornings. 'Waihopai' highlights the specific valley where the grapes are grown, emphasizing the wine's unique sense of place. The 'Limited Edition' designation underlines the rarity and special selection of this vintage.</t>
  </si>
  <si>
    <t>New Zealand Wine Rater 93</t>
  </si>
  <si>
    <t>S000839</t>
  </si>
  <si>
    <t>Misty Cove Tamahine</t>
  </si>
  <si>
    <t>S000840</t>
  </si>
  <si>
    <t>Misty Cove Landmark Chardonnay</t>
  </si>
  <si>
    <t>S000841</t>
  </si>
  <si>
    <t>Misty Cove 1203 Chardonnay</t>
  </si>
  <si>
    <t>S000842</t>
  </si>
  <si>
    <t>Misty Cove 1203 Pinot Noir</t>
  </si>
  <si>
    <t>S000843</t>
  </si>
  <si>
    <t>Atalaya 'La Atalaya del Camino'</t>
  </si>
  <si>
    <t>S000844</t>
  </si>
  <si>
    <t>S000845</t>
  </si>
  <si>
    <t>Atalaya 'Alaya Tierra'</t>
  </si>
  <si>
    <t>S000846</t>
  </si>
  <si>
    <t>Bodegas Juan Gil 'Intruso' Garnacha Calatayud</t>
  </si>
  <si>
    <t>S000847</t>
  </si>
  <si>
    <t>Bodegas Juan Gil 'Intruso' Red Blend Montsant</t>
  </si>
  <si>
    <t>S000848</t>
  </si>
  <si>
    <t>Bodegas Juan Gil Blue Label</t>
  </si>
  <si>
    <t>S000849</t>
  </si>
  <si>
    <t>Bodegas Trenza 'Mont Clou' Chardonnay Sur Lie</t>
  </si>
  <si>
    <t>S000850</t>
  </si>
  <si>
    <t>Bohigas Semi Seco Reserva</t>
  </si>
  <si>
    <t>S000851</t>
  </si>
  <si>
    <t>Bohigas Brut Reserva</t>
  </si>
  <si>
    <t>S000852</t>
  </si>
  <si>
    <t>Bohigas Brut Nature Gran Reserva</t>
  </si>
  <si>
    <t>S000853</t>
  </si>
  <si>
    <t>Bohigas Extra Brut Gran Reserva</t>
  </si>
  <si>
    <t>S000854</t>
  </si>
  <si>
    <t>Bohigas 'NOA de Bohigas' Brut Nature Reserva Organic (Giftbox)</t>
  </si>
  <si>
    <t>S000855</t>
  </si>
  <si>
    <t>Bohigas Brut Reserva Special Edition</t>
  </si>
  <si>
    <t>S000856</t>
  </si>
  <si>
    <t>Paco Mulero Garnacha</t>
  </si>
  <si>
    <t>S000857</t>
  </si>
  <si>
    <t>Paco Mulero Albarino</t>
  </si>
  <si>
    <t>S000858</t>
  </si>
  <si>
    <t xml:space="preserve">Surh Cellars 'Mosaique' Napa Valley Bordeaux Blend </t>
  </si>
  <si>
    <t>S000859</t>
  </si>
  <si>
    <t>Surh Cellars 'Umino Vineyard' Russian River Valley Pinot Noir</t>
  </si>
  <si>
    <t>S000860</t>
  </si>
  <si>
    <t>Surh Cellars Sonoma Coast Pinot Noir</t>
  </si>
  <si>
    <t>S000861</t>
  </si>
  <si>
    <t>Surh Cellars 'Heritage' Sonoma Coast Pinot Noir</t>
  </si>
  <si>
    <t>S000862</t>
  </si>
  <si>
    <t>Surh Cellars 'Thornton Vineyard' Sonoma Coast Pinot Noir</t>
  </si>
  <si>
    <t>S000863</t>
  </si>
  <si>
    <t>Surh Cellars Napa Valley Cabernet Sauvignon</t>
  </si>
  <si>
    <t>S000864</t>
  </si>
  <si>
    <t>Surh Cellars Sonoma Coast Chardonnay</t>
  </si>
  <si>
    <t>S000865</t>
  </si>
  <si>
    <t>Shangri-la Altiwine 1800 Cabernet Sauvignon</t>
  </si>
  <si>
    <t>S000866</t>
  </si>
  <si>
    <t>Shangri-la Altiwine 1800 Chardonnay</t>
  </si>
  <si>
    <t>S000867</t>
  </si>
  <si>
    <t>Shangri-la Altiwine 2600 Shiraz</t>
  </si>
  <si>
    <t>S000868</t>
  </si>
  <si>
    <t>Shangri-la Altiwine 2600 Merlot</t>
  </si>
  <si>
    <t>S000869</t>
  </si>
  <si>
    <t>Shangri-la Altiwine 2600 Chardonnay</t>
  </si>
  <si>
    <t>S000870</t>
  </si>
  <si>
    <t>Shangri-la Altiwine 2800 Cabernet Sauvignon</t>
  </si>
  <si>
    <t>S000871</t>
  </si>
  <si>
    <t>Shangri-la Sacred Land Legend Cabernet Sauvignon</t>
  </si>
  <si>
    <t>S000872</t>
  </si>
  <si>
    <t>Shangri-la Sacred Land Legend Chardonnay</t>
  </si>
  <si>
    <t>S000873</t>
  </si>
  <si>
    <t>Shangri-la Sacred Land Dry Red Cabernet Sauvignon</t>
  </si>
  <si>
    <t>S000874</t>
  </si>
  <si>
    <t>Shangri-la Sacred Land Rongzhong Village</t>
  </si>
  <si>
    <t>S000875</t>
  </si>
  <si>
    <t>Shangri-la Vidal Noble Rot Wine</t>
  </si>
  <si>
    <t>S000876</t>
  </si>
  <si>
    <t>Roger Brun Grande Réserve Brut</t>
  </si>
  <si>
    <t>S000877</t>
  </si>
  <si>
    <t>Roger Brun Blanc de Blancs Brut Premier Cru</t>
  </si>
  <si>
    <t>S000878</t>
  </si>
  <si>
    <t>Roger Brun Cuvée Grand Cru Réserve Brut</t>
  </si>
  <si>
    <t>S000879</t>
  </si>
  <si>
    <t>Roger Brun Cuvée des Sires</t>
  </si>
  <si>
    <t>S000880</t>
  </si>
  <si>
    <t>Roger Brun Réserve Familiale Grand Cru</t>
  </si>
  <si>
    <t>S000881</t>
  </si>
  <si>
    <t>S000882</t>
  </si>
  <si>
    <t>S000883</t>
  </si>
  <si>
    <t>Tikveš Special Selection Vranec</t>
  </si>
  <si>
    <t>S000884</t>
  </si>
  <si>
    <t>Tikveš Alexandria Cuvée Red</t>
  </si>
  <si>
    <t>S000885</t>
  </si>
  <si>
    <t>Tikveš Barovo Red</t>
  </si>
  <si>
    <t>S000886</t>
  </si>
  <si>
    <t>Tikveš Lepovo Pinot Noir</t>
  </si>
  <si>
    <t>S000887</t>
  </si>
  <si>
    <t>Tikveš Bela Voda Red</t>
  </si>
  <si>
    <t>S000888</t>
  </si>
  <si>
    <t>Tikveš Grand Cuvee Lepovo</t>
  </si>
  <si>
    <t>S000889</t>
  </si>
  <si>
    <t>Tikveš Special Selection Temjanika</t>
  </si>
  <si>
    <t>S000890</t>
  </si>
  <si>
    <t>Tikveš Alexandria Cuvee White</t>
  </si>
  <si>
    <t>S000891</t>
  </si>
  <si>
    <t>Tikveš Barovo White</t>
  </si>
  <si>
    <t>S000892</t>
  </si>
  <si>
    <t>Tribaut Schloesser 8 Terroirs Origine Brut</t>
  </si>
  <si>
    <t>S000893</t>
  </si>
  <si>
    <t>S000894</t>
  </si>
  <si>
    <t>Tribaut Schloesser Terroir Premier Cru Extra Brut</t>
  </si>
  <si>
    <t>S000895</t>
  </si>
  <si>
    <t>Tribaut Schloesser 8 Terroirs Rosé Brut</t>
  </si>
  <si>
    <t>S000896</t>
  </si>
  <si>
    <t>Tribaut Schloesser Vallée du Brunet Blanc de Chardonnay Extra Brut</t>
  </si>
  <si>
    <t>S000897</t>
  </si>
  <si>
    <t>Tribaut Schloesser Cuvée René Extra Brut</t>
  </si>
  <si>
    <t>S000898</t>
  </si>
  <si>
    <t>Tribaut Schloesser Authentique Extra Brut</t>
  </si>
  <si>
    <t>S000899</t>
  </si>
  <si>
    <t>Tribaut Schloesser L'Authentique</t>
  </si>
  <si>
    <t>S000900</t>
  </si>
  <si>
    <t>Penfolds Champagne Cuvée Brut</t>
  </si>
  <si>
    <t>S000901</t>
  </si>
  <si>
    <t>Penfolds Reserve Bin A Chardonnay</t>
  </si>
  <si>
    <t>S000902</t>
  </si>
  <si>
    <t>Penfolds Yattarna</t>
  </si>
  <si>
    <t>S000903</t>
  </si>
  <si>
    <t>Penfolds Bin 8 Cabernet Shiraz</t>
  </si>
  <si>
    <t>S000904</t>
  </si>
  <si>
    <t>Penfolds Bin 2 Shiraz Mataro</t>
  </si>
  <si>
    <t>S000905</t>
  </si>
  <si>
    <t>Penfolds Bin 28 Shiraz</t>
  </si>
  <si>
    <t>S000906</t>
  </si>
  <si>
    <t>Penfolds Bin 128 Shiraz</t>
  </si>
  <si>
    <t>S000907</t>
  </si>
  <si>
    <t>Penfolds Bin 138 Barossa GSM</t>
  </si>
  <si>
    <t>S000908</t>
  </si>
  <si>
    <t>Penfolds Bin 23 Pinot Noir</t>
  </si>
  <si>
    <t>S000909</t>
  </si>
  <si>
    <t>Penfolds Bin 21 Grenache</t>
  </si>
  <si>
    <t>S000910</t>
  </si>
  <si>
    <t>Penfolds Bin 389</t>
  </si>
  <si>
    <t>S000911</t>
  </si>
  <si>
    <t>Penfolds St Henri</t>
  </si>
  <si>
    <t>S000912</t>
  </si>
  <si>
    <t>Penfolds RWT</t>
  </si>
  <si>
    <t>S000913</t>
  </si>
  <si>
    <t>Penfolds Superblend 802B</t>
  </si>
  <si>
    <t>S000914</t>
  </si>
  <si>
    <t>Penfolds Superblend 802A</t>
  </si>
  <si>
    <t>S000915</t>
  </si>
  <si>
    <t>Penfolds Bin 707</t>
  </si>
  <si>
    <t>S000916</t>
  </si>
  <si>
    <t>Penfolds Grange</t>
  </si>
  <si>
    <t>S000917</t>
  </si>
  <si>
    <t>Penfolds Bin 600 Cabernet Shiraz</t>
  </si>
  <si>
    <t>S000918</t>
  </si>
  <si>
    <t>Penfolds Bin 704</t>
  </si>
  <si>
    <t>S000919</t>
  </si>
  <si>
    <t>Penfolds Bin 149</t>
  </si>
  <si>
    <t>S000920</t>
  </si>
  <si>
    <t>Penfolds Bin 98 Quantum</t>
  </si>
  <si>
    <t>S000921</t>
  </si>
  <si>
    <t>Penfolds CWT 521</t>
  </si>
  <si>
    <t>S000922</t>
  </si>
  <si>
    <t>Penfolds FWT 585</t>
  </si>
  <si>
    <t>S000923</t>
  </si>
  <si>
    <t>Domaine Albert Joly Puligny-Montrachet 'Les Reuchaux'</t>
  </si>
  <si>
    <t>S000924</t>
  </si>
  <si>
    <t>Domaine Chavy Chouet Puligny-Montrachet 'Les Enseigneres'</t>
  </si>
  <si>
    <t>S000925</t>
  </si>
  <si>
    <t>Domaine Clos des Rocs Pouilly Loche 'Les Mures'</t>
  </si>
  <si>
    <t>S000926</t>
  </si>
  <si>
    <t>Domaine Naima &amp; David Didon Bourgogne Blanc</t>
  </si>
  <si>
    <t>S000927</t>
  </si>
  <si>
    <t>Guy Bocard Bourgogne Côte d'Or</t>
  </si>
  <si>
    <t>S000928</t>
  </si>
  <si>
    <t>Patrick Javillier Meursault 'Clos du Cromin'</t>
  </si>
  <si>
    <t>S000929</t>
  </si>
  <si>
    <t>Domaine Pinson Freres Chablis 'La Foret' Premier Cru</t>
  </si>
  <si>
    <t>S000930</t>
  </si>
  <si>
    <t>Sylvain Dussort Bourgogne Aligoté</t>
  </si>
  <si>
    <t>S000931</t>
  </si>
  <si>
    <t>Alain Maurice Gavignet Nuits-Saint-Georges 'Les Chaboeufs' Premier Cru</t>
  </si>
  <si>
    <t>S000932</t>
  </si>
  <si>
    <t>Domaine Buisson-Charles Beaune 'Les Teurons' Premier Cru</t>
  </si>
  <si>
    <t>S000933</t>
  </si>
  <si>
    <t>Domaine Naima &amp; David Didon Bourgogne ' Cuvee Longue' Rouge</t>
  </si>
  <si>
    <t>S000934</t>
  </si>
  <si>
    <t>Dominique Laurent Gevrey-Chambertin 'Les Champeaux' Premier Cru</t>
  </si>
  <si>
    <t>S000935</t>
  </si>
  <si>
    <t>Domaine Gachot-Monot Côte de Nuits-Villages 'Les Chaillots'</t>
  </si>
  <si>
    <t>S000936</t>
  </si>
  <si>
    <t xml:space="preserve">Julien Sunier Morgon </t>
  </si>
  <si>
    <t>S000937</t>
  </si>
  <si>
    <t>Sylvain Dussort Chorey-les-Beaune 'Les Beaumonts'</t>
  </si>
  <si>
    <t>S000938</t>
  </si>
  <si>
    <t>Domaine Sylvain Langoureau Bourgogne Hautes Cotes de Beaune 'Clos Marc' Rouge</t>
  </si>
  <si>
    <t>S000939</t>
  </si>
  <si>
    <t xml:space="preserve">Guy Charlemagne Blanc de Blancs Brut Réserve Grand Cru </t>
  </si>
  <si>
    <t>S000940</t>
  </si>
  <si>
    <t xml:space="preserve">Herve Dubois Brut Rose Grand Cru </t>
  </si>
  <si>
    <t>S000941</t>
  </si>
  <si>
    <t xml:space="preserve">Paul Launois 'Illustration' Blanc de Blancs Extra Brut Grand Cru </t>
  </si>
  <si>
    <t>S000942</t>
  </si>
  <si>
    <t>Eden Rift Vineyards Reserve Pinot Noir</t>
  </si>
  <si>
    <t>S000943</t>
  </si>
  <si>
    <t>Eden Rift Vineyards Reserve Chardonnay</t>
  </si>
  <si>
    <t>S000944</t>
  </si>
  <si>
    <t>BK Wines 'Carte Blanche' Rouge</t>
  </si>
  <si>
    <t>S000945</t>
  </si>
  <si>
    <t>BK Wines 'Swaby' Single Vineyard Chardonnay</t>
  </si>
  <si>
    <t>S000946</t>
  </si>
  <si>
    <t xml:space="preserve">Andre Clouet Grande Reserve Brut </t>
  </si>
  <si>
    <t>S000947</t>
  </si>
  <si>
    <t>Andre Clouet The V6 Experience Brut</t>
  </si>
  <si>
    <t>S000948</t>
  </si>
  <si>
    <t>Andre Clouet 'Dream Vintage' Brut</t>
  </si>
  <si>
    <t>S000949</t>
  </si>
  <si>
    <t>Andre Clouet Brut Rosé Grand Cru (NO. 5)</t>
  </si>
  <si>
    <t>S000950</t>
  </si>
  <si>
    <t>Andre Clouet 'Un Jour de 1911' Brut (OWC6)</t>
  </si>
  <si>
    <t>S000951</t>
  </si>
  <si>
    <t>Varnier Fanniere Brut Rosé Grand Cru</t>
  </si>
  <si>
    <t>S000952</t>
  </si>
  <si>
    <t xml:space="preserve">Varnier Fanniere 'Cuvee Jean Fanniere Origine' Extra Brut Grand Cru </t>
  </si>
  <si>
    <t>S000953</t>
  </si>
  <si>
    <t>Andre Clouet 'Chalky' Brut</t>
  </si>
  <si>
    <t>S000954</t>
  </si>
  <si>
    <t xml:space="preserve">Varnier Fanniere Brut Grand Cru </t>
  </si>
  <si>
    <t>S000955</t>
  </si>
  <si>
    <t>Varnier Fanniere 'Esprit de Craie' Extra Brut Rosé</t>
  </si>
  <si>
    <t>S000956</t>
  </si>
  <si>
    <t>S000957</t>
  </si>
  <si>
    <t>S000958</t>
  </si>
  <si>
    <t xml:space="preserve">Varnier Fanniere Vintage Brut Grand Cru </t>
  </si>
  <si>
    <t>S000959</t>
  </si>
  <si>
    <t>S000960</t>
  </si>
  <si>
    <t>S000961</t>
  </si>
  <si>
    <t>Andre Clouet Grande Reserve Brut</t>
  </si>
  <si>
    <t>S000962</t>
  </si>
  <si>
    <t>Andre Clouet 'Un Jour de 1911' Brut (OCB6)</t>
  </si>
  <si>
    <t>S000963</t>
  </si>
  <si>
    <t>Andre Clouet Brut Millesime</t>
  </si>
  <si>
    <t>S000964</t>
  </si>
  <si>
    <t>S000965</t>
  </si>
  <si>
    <t>Marie Courtin 'Concordance' Blanc de Noirs Extra Brut</t>
  </si>
  <si>
    <t>S000966</t>
  </si>
  <si>
    <t>Taittinger 'Comtes de Champagne' Blanc de Blancs Brut</t>
  </si>
  <si>
    <t>S000967</t>
  </si>
  <si>
    <t>S000968</t>
  </si>
  <si>
    <t>S000969</t>
  </si>
  <si>
    <t xml:space="preserve">Andre Clouet Silver Blanc de Noirs Brut Nature Grand Cru </t>
  </si>
  <si>
    <t>S000970</t>
  </si>
  <si>
    <t>S000971</t>
  </si>
  <si>
    <t xml:space="preserve">Andre Clouet 'Le Clos' Bouzy Brut Grand Cru </t>
  </si>
  <si>
    <t>S000972</t>
  </si>
  <si>
    <t>S000973</t>
  </si>
  <si>
    <t>Andre Clouet 'Spiritum 96' Rosé Grand Cru</t>
  </si>
  <si>
    <t>S000974</t>
  </si>
  <si>
    <t>Chavost 'Eurêka!' Brut Nature</t>
  </si>
  <si>
    <t>S000975</t>
  </si>
  <si>
    <t>S000976</t>
  </si>
  <si>
    <t>Marie Courtin Blanc de Noirs Extra Brut</t>
  </si>
  <si>
    <t>S000977</t>
  </si>
  <si>
    <t>S000978</t>
  </si>
  <si>
    <t>Marie Courtin 'Efflorescence' Blanc de Noirs Extra Brut</t>
  </si>
  <si>
    <t>S000979</t>
  </si>
  <si>
    <t>Varnier Fanniere Brut Grand Cru</t>
  </si>
  <si>
    <t>S000980</t>
  </si>
  <si>
    <t>Marie Courtin 'Presence' Blanc de Noirs Extra Brut</t>
  </si>
  <si>
    <t>S000981</t>
  </si>
  <si>
    <t>S000982</t>
  </si>
  <si>
    <t>Deutz 'Amour de Deutz' Blanc de Blancs Brut Millesime (Giftbox)</t>
  </si>
  <si>
    <t>S000983</t>
  </si>
  <si>
    <t>S000984</t>
  </si>
  <si>
    <t>Varnier Fanniere Brut Zero Grand Cru</t>
  </si>
  <si>
    <t>S000985</t>
  </si>
  <si>
    <t>Bollinger R.D. Extra Brut</t>
  </si>
  <si>
    <t>S000986</t>
  </si>
  <si>
    <t>S000987</t>
  </si>
  <si>
    <t>S000988</t>
  </si>
  <si>
    <t>S000989</t>
  </si>
  <si>
    <t>Krug Vintage Brut</t>
  </si>
  <si>
    <t>S000990</t>
  </si>
  <si>
    <t>Goutorbe-Bouillot 'Retrospective 80-15' Extra Brut (Disgorged June 2023)</t>
  </si>
  <si>
    <t>S000991</t>
  </si>
  <si>
    <t>Pommery Royal Grand Cru Brut Millesime</t>
  </si>
  <si>
    <t>S000992</t>
  </si>
  <si>
    <t xml:space="preserve">Varnier Fanniere 'Cuvee Saint Denis' Brut Grand Cru </t>
  </si>
  <si>
    <t>S000993</t>
  </si>
  <si>
    <t>S000994</t>
  </si>
  <si>
    <t>Moët &amp; Chandon Grand Vintage Brut</t>
  </si>
  <si>
    <t>S000995</t>
  </si>
  <si>
    <t>Fonseca 10 Year Old Tawny Port</t>
  </si>
  <si>
    <t>S000996</t>
  </si>
  <si>
    <t>Fonseca 20 Year Old Tawny Port</t>
  </si>
  <si>
    <t>S000997</t>
  </si>
  <si>
    <t>Fonseca Late Bottled Vintage Port</t>
  </si>
  <si>
    <t>S000998</t>
  </si>
  <si>
    <t>W &amp; J Graham's 'The Stone Terraces' Vintage Port</t>
  </si>
  <si>
    <t>S000999</t>
  </si>
  <si>
    <t>Niepoort Vintage Port</t>
  </si>
  <si>
    <t>1931</t>
  </si>
  <si>
    <t>S001000</t>
  </si>
  <si>
    <t>Dominio de Pingus 'PSI' Ribera del Duero</t>
  </si>
  <si>
    <t>S001001</t>
  </si>
  <si>
    <t xml:space="preserve">AJ Vaona Bourgogne Pinot Noir </t>
  </si>
  <si>
    <t>S001002</t>
  </si>
  <si>
    <t>Château Lafont-Fourcat</t>
  </si>
  <si>
    <t>S001003</t>
  </si>
  <si>
    <t>Agricola Gianpiero Marrone Barbaresco DOCG</t>
  </si>
  <si>
    <t>S001004</t>
  </si>
  <si>
    <t>Château Lorieu</t>
  </si>
  <si>
    <t>S001005</t>
  </si>
  <si>
    <t>Bruno Giacosa Nebbiolo d'Alba</t>
  </si>
  <si>
    <t>S001006</t>
  </si>
  <si>
    <t>Bruno Giacosa Dolcetto d'Alba</t>
  </si>
  <si>
    <t>S001007</t>
  </si>
  <si>
    <t>Château Ducru-Beaucaillou 'Madame de Beaucaillou'</t>
  </si>
  <si>
    <t>S001008</t>
  </si>
  <si>
    <t>Château Senejac</t>
  </si>
  <si>
    <t>S001009</t>
  </si>
  <si>
    <t>Conti Costanti Brunello di Montalcino DOCG</t>
  </si>
  <si>
    <t>S001010</t>
  </si>
  <si>
    <t>Bouchard Pere &amp; Fils Cote de Nuits-Villages</t>
  </si>
  <si>
    <t>S001011</t>
  </si>
  <si>
    <t>Bruno Giacosa Barbera d'Alba</t>
  </si>
  <si>
    <t>S001012</t>
  </si>
  <si>
    <t>Conti Costanti Rosso di Montalcino</t>
  </si>
  <si>
    <t>S001013</t>
  </si>
  <si>
    <t>Château Talbot 'Connetable Talbot'</t>
  </si>
  <si>
    <t>S001014</t>
  </si>
  <si>
    <t>Agricola Gianpiero Marrone Dolcetto d'Alba DOC</t>
  </si>
  <si>
    <t>S001015</t>
  </si>
  <si>
    <t>Agricola Gianpiero Marrone Langhe Nebbiolo DOC</t>
  </si>
  <si>
    <t>S001016</t>
  </si>
  <si>
    <t>Agricola Gianpiero Marrone 'Pichemej' Barolo DOCG</t>
  </si>
  <si>
    <t>S001017</t>
  </si>
  <si>
    <t>Falletto di Bruno Giacosa Dolcetto d'Alba</t>
  </si>
  <si>
    <t>S001018</t>
  </si>
  <si>
    <t>Conti Costanti Calbello 'Ardingo' Toscana IGT</t>
  </si>
  <si>
    <t>S001019</t>
  </si>
  <si>
    <t>Château Les Ormes de Pez</t>
  </si>
  <si>
    <t>S001020</t>
  </si>
  <si>
    <t>Château Pichon-Longueville 'Les Griffons de Pichon Baron'</t>
  </si>
  <si>
    <t>S001021</t>
  </si>
  <si>
    <t>Agricola Gianpiero Marrone 'Carlot' Barbera d'Alba DOC</t>
  </si>
  <si>
    <t>S001022</t>
  </si>
  <si>
    <t>Agricola Gianpiero Marrone Bussia DOCG</t>
  </si>
  <si>
    <t>S001023</t>
  </si>
  <si>
    <t>Château Smith Haut Lafitte 'Le Petit Smith Haut Lafitte'</t>
  </si>
  <si>
    <t>S001024</t>
  </si>
  <si>
    <t>Château La Fleur de Boüard</t>
  </si>
  <si>
    <t>S001025</t>
  </si>
  <si>
    <t xml:space="preserve">AJ Vaona Vosne-Romanée </t>
  </si>
  <si>
    <t>S001026</t>
  </si>
  <si>
    <t>Domaine Francois Gaunoux Pommard 'Les Tavannes'</t>
  </si>
  <si>
    <t>S001027</t>
  </si>
  <si>
    <t>Agricola Gianpiero Marrone 'Agrestis' Nebbiolo d'Alba Superiore DOC</t>
  </si>
  <si>
    <t>S001028</t>
  </si>
  <si>
    <t>Château Sainte Marie</t>
  </si>
  <si>
    <t>S001029</t>
  </si>
  <si>
    <t>Conti Costanti Vermiglio Rosso di Montalcino</t>
  </si>
  <si>
    <t>S001030</t>
  </si>
  <si>
    <t>Domaine Francois Gaunoux Volnay 'Clos des Chenes' Premier Cru</t>
  </si>
  <si>
    <t>S001031</t>
  </si>
  <si>
    <t xml:space="preserve">AJ Vaona Savigny-Les-Beaune </t>
  </si>
  <si>
    <t>S001032</t>
  </si>
  <si>
    <t>Domaine Daniel-Etienne Defaix Bourgogne Rouge</t>
  </si>
  <si>
    <t>S001033</t>
  </si>
  <si>
    <t>Château La Gaffeliere 'Clos La Gaffeliere'</t>
  </si>
  <si>
    <t>S001034</t>
  </si>
  <si>
    <t>Domaine Tortochot Morey-Saint-Denis 'Aux Charmes' Premier Cru</t>
  </si>
  <si>
    <t>S001035</t>
  </si>
  <si>
    <t>Penfolds 'Bin 169' Cabernet Sauvignon</t>
  </si>
  <si>
    <t>S001036</t>
  </si>
  <si>
    <t>Domaine Alain Hudelot-Noellat Nuits-Saint-Georges 'Les Murgers' Premier Cru</t>
  </si>
  <si>
    <t>S001037</t>
  </si>
  <si>
    <t>Domaine Alain Hudelot-Noellat Vougeot 'Les Petits Vougeots' Premier Cru</t>
  </si>
  <si>
    <t>S001038</t>
  </si>
  <si>
    <t>Le Petit Ducru de Château Ducru-Beaucaillou</t>
  </si>
  <si>
    <t>S001039</t>
  </si>
  <si>
    <t>Dominio de Pingus 'Flor de Pingus' Ribera del Duero</t>
  </si>
  <si>
    <t>S001040</t>
  </si>
  <si>
    <t>Domaine de Chevalier 'L'Esprit de Chevalier'</t>
  </si>
  <si>
    <t>S001041</t>
  </si>
  <si>
    <t>Château Valandraud</t>
  </si>
  <si>
    <t>S001042</t>
  </si>
  <si>
    <t>S001043</t>
  </si>
  <si>
    <t>Domaine Francois Gaunoux Beaune 'Clos des Mouches' Premier Cru</t>
  </si>
  <si>
    <t>S001044</t>
  </si>
  <si>
    <t>Château Latour 'Les Forts de Latour' (OWC 3)</t>
  </si>
  <si>
    <t>S001045</t>
  </si>
  <si>
    <t>Agricola Gianpiero Marrone Barolo DOCG</t>
  </si>
  <si>
    <t>S001046</t>
  </si>
  <si>
    <t>Falletto di Bruno Giacosa Barolo DOCG</t>
  </si>
  <si>
    <t>S001047</t>
  </si>
  <si>
    <t>S001048</t>
  </si>
  <si>
    <t>Agricola Gianpiero Marrone 'La Pantalera' Barbera d'Alba Superiore DOC</t>
  </si>
  <si>
    <t>S001049</t>
  </si>
  <si>
    <t>AJ Vaona Pommard Premier Cru</t>
  </si>
  <si>
    <t>S001050</t>
  </si>
  <si>
    <t>Jean Foillard Fleurie Morgon 'Cote du Py'</t>
  </si>
  <si>
    <t>S001051</t>
  </si>
  <si>
    <t>Falletto di Bruno Giacosa 'Falletto Vigna Le Rocche' Barolo Riserva DOCG</t>
  </si>
  <si>
    <t>S001052</t>
  </si>
  <si>
    <t xml:space="preserve">Château Phelan Segur </t>
  </si>
  <si>
    <t>S001053</t>
  </si>
  <si>
    <t>S001054</t>
  </si>
  <si>
    <t>S001055</t>
  </si>
  <si>
    <t>Thunevin-Calvet Maury Vin Doux Naturel</t>
  </si>
  <si>
    <t>S001056</t>
  </si>
  <si>
    <t>Fattoria Poggio di Sotto Rosso di Montalcino</t>
  </si>
  <si>
    <t>S001057</t>
  </si>
  <si>
    <t>Diane by Jacques Lurton Cabernet Sauvignon</t>
  </si>
  <si>
    <t>S001058</t>
  </si>
  <si>
    <t>Domaine Alain Hudelot-Noellat Vosne-Romanée</t>
  </si>
  <si>
    <t>S001059</t>
  </si>
  <si>
    <t>Le Merle de Château Péby Faugères</t>
  </si>
  <si>
    <t>S001060</t>
  </si>
  <si>
    <t>Château Cantemerle</t>
  </si>
  <si>
    <t>S001061</t>
  </si>
  <si>
    <t>Conti Costanti Brunello di Montalcino Riserva DOCG</t>
  </si>
  <si>
    <t>S001062</t>
  </si>
  <si>
    <t>Domaine Francois Gaunoux Pommard 'Les Epenots' Premier Cru</t>
  </si>
  <si>
    <t>S001063</t>
  </si>
  <si>
    <t>Domaine Francois Gaunoux Pommard 'Les Grand Epenots' Premier Cru</t>
  </si>
  <si>
    <t>S001064</t>
  </si>
  <si>
    <t>Jean Foillard Fleurie</t>
  </si>
  <si>
    <t>S001065</t>
  </si>
  <si>
    <t>Xavier Vignon Châteauneuf-du-Pape</t>
  </si>
  <si>
    <t>S001066</t>
  </si>
  <si>
    <t>S001067</t>
  </si>
  <si>
    <t>Domaine de la Pousse d'Or Chambolle-Musigny 'Les Groseilles' Premier Cru</t>
  </si>
  <si>
    <t>S001068</t>
  </si>
  <si>
    <t>Domaine de la Pousse d'Or 'Clos des 60 Ouvrees' Amphore Premier Cru</t>
  </si>
  <si>
    <t>S001069</t>
  </si>
  <si>
    <t>Domaine Nicolas Rossignol Volnay 'Les Santenots' Premier Cru</t>
  </si>
  <si>
    <t>S001070</t>
  </si>
  <si>
    <t>Bernard Magrez Chateau La Tour Carnet</t>
  </si>
  <si>
    <t>S001071</t>
  </si>
  <si>
    <t>S001072</t>
  </si>
  <si>
    <t>Château Cantemerle 'Les Allées de Cantemerle'</t>
  </si>
  <si>
    <t>S001073</t>
  </si>
  <si>
    <t>S001074</t>
  </si>
  <si>
    <t>Domaine Mongeard-Mugneret Clos-de-Vougeot Grand Cru</t>
  </si>
  <si>
    <t>S001075</t>
  </si>
  <si>
    <t>Domaine Tortochot Mazis-Chambertin Grand Cru</t>
  </si>
  <si>
    <t>S001076</t>
  </si>
  <si>
    <t>Domaine Tortochot Morey-Saint-Denis 'Renaissance' Premier Cru</t>
  </si>
  <si>
    <t>S001077</t>
  </si>
  <si>
    <t>S001078</t>
  </si>
  <si>
    <t>Penfolds Koonunga Hill 'Seventy-Six' Shiraz Cabernet Sauvignon</t>
  </si>
  <si>
    <t>S001079</t>
  </si>
  <si>
    <t>S001080</t>
  </si>
  <si>
    <t>S001081</t>
  </si>
  <si>
    <t>Clos Badon Thunevin</t>
  </si>
  <si>
    <t>S001082</t>
  </si>
  <si>
    <t>S001083</t>
  </si>
  <si>
    <t xml:space="preserve">Domaine de Chevalier </t>
  </si>
  <si>
    <t>S001084</t>
  </si>
  <si>
    <t>Château de La Tour Clos-de-Vougeot Grand Cru</t>
  </si>
  <si>
    <t>S001085</t>
  </si>
  <si>
    <t xml:space="preserve">Château d'Issan </t>
  </si>
  <si>
    <t>S001086</t>
  </si>
  <si>
    <t>Château Leoville Poyferre</t>
  </si>
  <si>
    <t>S001087</t>
  </si>
  <si>
    <t>Avignonesi Capannelle 50&amp;50 Toscana IGT</t>
  </si>
  <si>
    <t>S001088</t>
  </si>
  <si>
    <t>Domaine Bruno Clair Gevrey-Chambertin 'Clos du Fonteny' Monopole Premier Cru</t>
  </si>
  <si>
    <t>S001089</t>
  </si>
  <si>
    <t>Falletto di Bruno Giacosa 'Asili' Barbaresco DOCG</t>
  </si>
  <si>
    <t>S001090</t>
  </si>
  <si>
    <t>Falletto di Bruno Giacosa 'Falletto' Barolo DOCG</t>
  </si>
  <si>
    <t>S001091</t>
  </si>
  <si>
    <t>Dujac Pere et Fils Chambolle-Musigny</t>
  </si>
  <si>
    <t>S001092</t>
  </si>
  <si>
    <t>Château Montrose La Dame de Montrose</t>
  </si>
  <si>
    <t>S001093</t>
  </si>
  <si>
    <t>Xavier Vignon 'Arcane VIII La Justice' Côtes du Rhône</t>
  </si>
  <si>
    <t>S001094</t>
  </si>
  <si>
    <t>Xavier Vignon Le Petit Xavier NV</t>
  </si>
  <si>
    <t>S001095</t>
  </si>
  <si>
    <t>Château de Cruzeau</t>
  </si>
  <si>
    <t>S001096</t>
  </si>
  <si>
    <t>Château Rauzan-Segla</t>
  </si>
  <si>
    <t>S001097</t>
  </si>
  <si>
    <t>Clos de Mez Morgon Château Gaillard</t>
  </si>
  <si>
    <t>S001098</t>
  </si>
  <si>
    <t>Domaine Confuron-Cotetidot Vosne-Romanée</t>
  </si>
  <si>
    <t>S001099</t>
  </si>
  <si>
    <t>Domaine Mongeard-Mugneret Echezeaux 'La Grande Complication' Grand Cru</t>
  </si>
  <si>
    <t>S001100</t>
  </si>
  <si>
    <t>Domaine Nicolas Rossignol Volnay 'Ronceret' Premier Cru</t>
  </si>
  <si>
    <t>S001101</t>
  </si>
  <si>
    <t xml:space="preserve">Domaine des Lambrays Morey-Saint-Denis 'Les Loups' Premier Cru </t>
  </si>
  <si>
    <t>S001102</t>
  </si>
  <si>
    <t xml:space="preserve">AJ Vaona Vosne-Romanée 'Les Beaux Monts' Premier Cru </t>
  </si>
  <si>
    <t>S001103</t>
  </si>
  <si>
    <t>Falletto di Bruno Giacosa 'Rabaja' Barbaresco DOCG</t>
  </si>
  <si>
    <t>S001104</t>
  </si>
  <si>
    <t>Château Calon-Ségur</t>
  </si>
  <si>
    <t>S001105</t>
  </si>
  <si>
    <t>S001106</t>
  </si>
  <si>
    <t>Château de La Tour Clos-de-Vougeot Vieilles Vignes Grand Cru</t>
  </si>
  <si>
    <t>S001107</t>
  </si>
  <si>
    <t>Château Maro de Saint-Amant</t>
  </si>
  <si>
    <t>S001108</t>
  </si>
  <si>
    <t>S001109</t>
  </si>
  <si>
    <t>Domaine Denis Mortet Gevrey-Chambertin Premier Cru</t>
  </si>
  <si>
    <t>S001110</t>
  </si>
  <si>
    <t>Domaine Denis Mortet Gevrey-Chambertin 'Les Champeaux' Premier Cru</t>
  </si>
  <si>
    <t>S001111</t>
  </si>
  <si>
    <t>Domaine de la Janasse Côtes du Rhône Villages 'Terre D'Argile'</t>
  </si>
  <si>
    <t>S001112</t>
  </si>
  <si>
    <t>Domaine Tortochot Charmes-Chambertin Grand Cru</t>
  </si>
  <si>
    <t>S001113</t>
  </si>
  <si>
    <t xml:space="preserve">Château Canon </t>
  </si>
  <si>
    <t>S001114</t>
  </si>
  <si>
    <t>Château Le Bon Pasteur</t>
  </si>
  <si>
    <t>S001115</t>
  </si>
  <si>
    <t>M. Chapoutier Domaine de Bila-Haut Côtes du Roussillon Villages Latour de France 'Occultum Lapidem' Rouge</t>
  </si>
  <si>
    <t>S001116</t>
  </si>
  <si>
    <t>Domaine Jean-Marc Pillot Chassagne-Montrachet 'Clos Saint-Jean' Premier Cru Rouge</t>
  </si>
  <si>
    <t>S001117</t>
  </si>
  <si>
    <t>Domaine Tortochot Chambertin Grand Cru</t>
  </si>
  <si>
    <t>S001118</t>
  </si>
  <si>
    <t>John Duval Wines 'Plexus' Shiraz-Grenache-Mourvedre</t>
  </si>
  <si>
    <t>S001119</t>
  </si>
  <si>
    <t xml:space="preserve">Château Cheval Blanc 'Le Petit Cheval' </t>
  </si>
  <si>
    <t>S001120</t>
  </si>
  <si>
    <t>Ruffino Riserva 'Ducale Oro' Chianti Classico Gran Selezione DOCG</t>
  </si>
  <si>
    <t>S001121</t>
  </si>
  <si>
    <t>Bodegas Roda Reserva</t>
  </si>
  <si>
    <t>S001122</t>
  </si>
  <si>
    <t>Château Langoa-Barton</t>
  </si>
  <si>
    <t>S001123</t>
  </si>
  <si>
    <t>Château Pavie Macquin</t>
  </si>
  <si>
    <t>S001124</t>
  </si>
  <si>
    <t>S001125</t>
  </si>
  <si>
    <t>Domaine de la Pousse d'Or Clos de la Roche Grand Cru</t>
  </si>
  <si>
    <t>S001126</t>
  </si>
  <si>
    <t>Domaine d'Eugenie Vosne-Romanee</t>
  </si>
  <si>
    <t>S001127</t>
  </si>
  <si>
    <t>Domaine Mongeard-Mugneret Grands Echezeaux Grand Cru</t>
  </si>
  <si>
    <t>S001128</t>
  </si>
  <si>
    <t>Domaine Georges Noellat Vosne-Romanee 'Les Petits Monts' Premier Cru</t>
  </si>
  <si>
    <t>S001129</t>
  </si>
  <si>
    <t>Bodegas Muga Seleccion Especial Reserva</t>
  </si>
  <si>
    <t>S001130</t>
  </si>
  <si>
    <t>Xavier Vignon Châteauneuf-du-Pape 'Cuvee Anonyme'</t>
  </si>
  <si>
    <t>S001131</t>
  </si>
  <si>
    <t>S001132</t>
  </si>
  <si>
    <t>Domaine Arnoux-Lachaux Echézeaux 'Les Rouges' Grand Cru</t>
  </si>
  <si>
    <t>S001133</t>
  </si>
  <si>
    <t>Domaine Auguste Clape Cornas</t>
  </si>
  <si>
    <t>S001134</t>
  </si>
  <si>
    <t>Casanova di Neri 'Tenuta Nuova' Brunello di Montalcino DOCG</t>
  </si>
  <si>
    <t>S001135</t>
  </si>
  <si>
    <t>S001136</t>
  </si>
  <si>
    <t>Château Clos de Sarpe</t>
  </si>
  <si>
    <t>S001137</t>
  </si>
  <si>
    <t>S001138</t>
  </si>
  <si>
    <t>Château Valandraud 'Virginie de Valandraud'</t>
  </si>
  <si>
    <t>S001139</t>
  </si>
  <si>
    <t>Cullen Diana Madeline</t>
  </si>
  <si>
    <t>S001140</t>
  </si>
  <si>
    <t>Domaine Arnoux-Lachaux Latricieres-Chambertin Grand Cru</t>
  </si>
  <si>
    <t>S001141</t>
  </si>
  <si>
    <t>Domaine Fourrier Vougeots 'Les Petits Vougeots' Vieilles Vignes Premier Cru</t>
  </si>
  <si>
    <t>S001142</t>
  </si>
  <si>
    <t>Domaine Prieure Roch Vosne-Romanee 'Les Clous'</t>
  </si>
  <si>
    <t>S001143</t>
  </si>
  <si>
    <t>Domaine Raymond Usseglio &amp; Fils Châteauneuf-du-Pape 'Cuvée Impériale'</t>
  </si>
  <si>
    <t>S001144</t>
  </si>
  <si>
    <t>Domaine Tortochot Bourgogne 'Cuvée Fine Sélection' Pinot Noir</t>
  </si>
  <si>
    <t>S001145</t>
  </si>
  <si>
    <t>Domaine Tortochot Clos-de-Vougeot Grand Cru</t>
  </si>
  <si>
    <t>S001146</t>
  </si>
  <si>
    <t>Domaine Virginie Thunevin</t>
  </si>
  <si>
    <t>S001147</t>
  </si>
  <si>
    <t>S001148</t>
  </si>
  <si>
    <t>S001149</t>
  </si>
  <si>
    <t>E. Guigal Cote Rotie 'La Turque'</t>
  </si>
  <si>
    <t>S001150</t>
  </si>
  <si>
    <t>Gaja Barbaresco DOCG</t>
  </si>
  <si>
    <t>S001151</t>
  </si>
  <si>
    <t>John Duval Wines 'Entity' Shiraz</t>
  </si>
  <si>
    <t>S001152</t>
  </si>
  <si>
    <t>Maison Leroy Bourgogne Rouge</t>
  </si>
  <si>
    <t>S001153</t>
  </si>
  <si>
    <t>Maison Leroy Monthelie Rouge</t>
  </si>
  <si>
    <t>S001154</t>
  </si>
  <si>
    <t>Luciano Sandrone 'Le Vigne' Barolo DOCG</t>
  </si>
  <si>
    <t>S001155</t>
  </si>
  <si>
    <t>Tua Rita Redigaffi Toscana IGT</t>
  </si>
  <si>
    <t>S001156</t>
  </si>
  <si>
    <t>Xavier Vignon Gigondas</t>
  </si>
  <si>
    <t>S001157</t>
  </si>
  <si>
    <t>Château Subilaux</t>
  </si>
  <si>
    <t>S001158</t>
  </si>
  <si>
    <t>S001159</t>
  </si>
  <si>
    <t>Andre Clouet Brut Rosé Grand Cru (NO. 3)</t>
  </si>
  <si>
    <t>S001160</t>
  </si>
  <si>
    <t>Perrier-Jouët Belle Époque - Fleur de Champagne Brut Rosé Millesime</t>
  </si>
  <si>
    <t>S001161</t>
  </si>
  <si>
    <t>Parés Baltà Brut Cava</t>
  </si>
  <si>
    <t>S001162</t>
  </si>
  <si>
    <t>Bad Girl Cremant Blanc NV</t>
  </si>
  <si>
    <t>S001163</t>
  </si>
  <si>
    <t>Bruno Giacosa Spumante Metodo Classico Extra Brut</t>
  </si>
  <si>
    <t>S001164</t>
  </si>
  <si>
    <t xml:space="preserve">Leon Galhaud Demi-Sec Sparkling Red </t>
  </si>
  <si>
    <t>S001165</t>
  </si>
  <si>
    <t>S001166</t>
  </si>
  <si>
    <t>Château Vari</t>
  </si>
  <si>
    <t>S001167</t>
  </si>
  <si>
    <t>Marie-Therese Chappaz Grain Noble Marsanne Blanche</t>
  </si>
  <si>
    <t>S001168</t>
  </si>
  <si>
    <t>Domaine Daniel-Etienne Defaix Chablis 'Vieilles Vignes'</t>
  </si>
  <si>
    <t>S001169</t>
  </si>
  <si>
    <t>Defaix Frères Chablis</t>
  </si>
  <si>
    <t>S001170</t>
  </si>
  <si>
    <t xml:space="preserve">AJ Vaona Bourgogne Chardonnay </t>
  </si>
  <si>
    <t>S001171</t>
  </si>
  <si>
    <t>Bruno Giacosa Roero Arneis DOCG</t>
  </si>
  <si>
    <t>S001172</t>
  </si>
  <si>
    <t>Domaine Daniel-Etienne Defaix Chablis 'Vaillon' Premier Cru</t>
  </si>
  <si>
    <t>S001173</t>
  </si>
  <si>
    <t>Defaix Frères Chablis 'Cote de Lechet' Premier Cru</t>
  </si>
  <si>
    <t>S001174</t>
  </si>
  <si>
    <t>Defaix Frères Chablis 'Les Vaillons' Premier Cru</t>
  </si>
  <si>
    <t>S001175</t>
  </si>
  <si>
    <t>Château Lafont-Fourcat Blanc</t>
  </si>
  <si>
    <t>S001176</t>
  </si>
  <si>
    <t>Domaine Daniel-Etienne Defaix Chablis 'Les Lys' Premier Cru</t>
  </si>
  <si>
    <t>S001177</t>
  </si>
  <si>
    <t>Defaix Frères Rully 'Rabource' Premier Cru</t>
  </si>
  <si>
    <t>S001178</t>
  </si>
  <si>
    <t>Bad Girl Crémant de Bordeaux Blanc Brut</t>
  </si>
  <si>
    <t>S001179</t>
  </si>
  <si>
    <t>Defaix Frères Chablis 'Vieille Vigne'</t>
  </si>
  <si>
    <t>S001180</t>
  </si>
  <si>
    <t>Domaine Virginie Thunevin Blanc</t>
  </si>
  <si>
    <t>S001181</t>
  </si>
  <si>
    <t>Domaine Daniel-Etienne Defaix Chablis 'Côte de Léchet' Premier Cru</t>
  </si>
  <si>
    <t>S001182</t>
  </si>
  <si>
    <t>Domaine Daniel-Etienne Defaix Chablis Vieilles Vignes</t>
  </si>
  <si>
    <t>S001183</t>
  </si>
  <si>
    <t>Thunevin-Calvet 'Cuvee Constance' Blanc</t>
  </si>
  <si>
    <t>S001184</t>
  </si>
  <si>
    <t>Defaix Frères Chablis 'Les Lys' Premier Cru</t>
  </si>
  <si>
    <t>S001185</t>
  </si>
  <si>
    <t xml:space="preserve">Defaix Frères Chablis Montée de Tonnerre Premier Cru </t>
  </si>
  <si>
    <t>S001186</t>
  </si>
  <si>
    <t xml:space="preserve">Defaix Frères Chablis 'Côte de Léchet' Vieilles Vignes Premier Cru </t>
  </si>
  <si>
    <t>S001187</t>
  </si>
  <si>
    <t>Agricola Gianpiero Marrone 'Solaris' Moscato d'Asti DOCG</t>
  </si>
  <si>
    <t>S001188</t>
  </si>
  <si>
    <t>S001189</t>
  </si>
  <si>
    <t>Defaix Frères Chablis 'Bougros' Grand Cru</t>
  </si>
  <si>
    <t>S001190</t>
  </si>
  <si>
    <t>Diane by Jacques Lurton Sémillon</t>
  </si>
  <si>
    <t>S001191</t>
  </si>
  <si>
    <t>Etienne Sauzet Puligny-Montrachet 'Les Combettes' Premier Cru</t>
  </si>
  <si>
    <t>S001192</t>
  </si>
  <si>
    <t xml:space="preserve">Defaix Frères Chablis 'Les Clos' Grand Cru </t>
  </si>
  <si>
    <t>S001193</t>
  </si>
  <si>
    <t>Domaine Jean-Marc Pillot Bourgogne 'Le Haut des Champs' Blanc</t>
  </si>
  <si>
    <t>S001194</t>
  </si>
  <si>
    <t>Domaine Jean-Marc Pillot Chassagne-Montrachet 'Les Macherelles' Premier Cru</t>
  </si>
  <si>
    <t>S001195</t>
  </si>
  <si>
    <t>Xavier Vignon Châteauneuf-du-Pape 'Cuvee Anonyme' Blanc</t>
  </si>
  <si>
    <t>S001196</t>
  </si>
  <si>
    <t>Château Pape Clément Blanc</t>
  </si>
  <si>
    <t>S001197</t>
  </si>
  <si>
    <t>Château Valandraud Blanc 'Blanc de Valandraud No. 1'</t>
  </si>
  <si>
    <t>S001198</t>
  </si>
  <si>
    <t>Domaine Buisson-Charles Meursault 'Les Tessons'</t>
  </si>
  <si>
    <t>S001199</t>
  </si>
  <si>
    <t>Domaine de Chevalier Blanc</t>
  </si>
  <si>
    <t>S001200</t>
  </si>
  <si>
    <t>Domaine Jean-Marc Pillot Chassagne-Montrachet 'Les Champs Gains' Premier Cru</t>
  </si>
  <si>
    <t>S001201</t>
  </si>
  <si>
    <t>Te Pa Sauvignon Blanc</t>
  </si>
  <si>
    <t>S001202</t>
  </si>
  <si>
    <t>AJ Vaona Puligny-Montrachet</t>
  </si>
  <si>
    <t>S001203</t>
  </si>
  <si>
    <t>Château Cos d'Estournel Blanc</t>
  </si>
  <si>
    <t>S001204</t>
  </si>
  <si>
    <t>S001205</t>
  </si>
  <si>
    <t>Domaine de la Fontainerie Vouvray 'Coteau les Brûlés' Sec</t>
  </si>
  <si>
    <t>S001206</t>
  </si>
  <si>
    <t>Domaine Francois Gaunoux Meursault 'Goutte d'Or' Premier Cru</t>
  </si>
  <si>
    <t>S001207</t>
  </si>
  <si>
    <t>S001208</t>
  </si>
  <si>
    <t>Domaine Jean-Marc Pillot Chassagne-Montrachet 'Les Chenevottes' Premier Cru</t>
  </si>
  <si>
    <t>S001209</t>
  </si>
  <si>
    <t>Xavier Vignon Cotes du Rhone Blanc</t>
  </si>
  <si>
    <t>S001210</t>
  </si>
  <si>
    <t>Domaine Michel Viré-Clessé 'Quintaine'</t>
  </si>
  <si>
    <t>S001211</t>
  </si>
  <si>
    <t>Weingut Robert Weil 'Kiedricher Klosterberg' Riesling Trocken</t>
  </si>
  <si>
    <t>S001212</t>
  </si>
  <si>
    <t>S001213</t>
  </si>
  <si>
    <t>Domaine Daniel-Etienne Defaix Chablis 'Les Grenouilles' Grand Cru</t>
  </si>
  <si>
    <t>S001214</t>
  </si>
  <si>
    <t>Domaine de la Fontainerie Vouvray 'Coteau les Brûlés' Demi-Sec</t>
  </si>
  <si>
    <t>S001215</t>
  </si>
  <si>
    <t>Domaine Francois Mikulski Meursault 'Les Charmes' Premier Cru</t>
  </si>
  <si>
    <t>S001216</t>
  </si>
  <si>
    <t>Domaine Francois Mikulski Meursault 'Les Poruzots' Premier Cru</t>
  </si>
  <si>
    <t>S001217</t>
  </si>
  <si>
    <t>Agricola Gianpiero Marrone 'Tre Fie' Langhe Arneis DOC</t>
  </si>
  <si>
    <t>S001218</t>
  </si>
  <si>
    <t>Penfolds Koonunga Hill 'Autumn' Riesling</t>
  </si>
  <si>
    <t>S001219</t>
  </si>
  <si>
    <t>S001220</t>
  </si>
  <si>
    <t>Cour de la Roche Touraine Sauvignon Blanc</t>
  </si>
  <si>
    <t>S001221</t>
  </si>
  <si>
    <t>S001222</t>
  </si>
  <si>
    <t>M. Chapoutier Domaine de Bila-Haut Côtes du Roussillon Villages 'Occultum Lapidem' Blanc</t>
  </si>
  <si>
    <t>S001223</t>
  </si>
  <si>
    <t>S001224</t>
  </si>
  <si>
    <t>Domaine Francois Gaunoux Meursault 'Le Clos de Tavaux' Monopole</t>
  </si>
  <si>
    <t>S001225</t>
  </si>
  <si>
    <t>Josmeyer Pinot Gris 'Le Fromenteau'</t>
  </si>
  <si>
    <t>S001226</t>
  </si>
  <si>
    <t>Pierre Girardin Puligny-Montrachet 'Les Folatières' Premier Cru</t>
  </si>
  <si>
    <t>S001227</t>
  </si>
  <si>
    <t>F.E. Trimbach Pinot Gris 'Réserve Personnelle'</t>
  </si>
  <si>
    <t>1996</t>
  </si>
  <si>
    <t>S001228</t>
  </si>
  <si>
    <t>F.E. Trimbach Riesling 'Clos Sainte Hune'</t>
  </si>
  <si>
    <t>S001229</t>
  </si>
  <si>
    <t>Weingut Robert Weil Riesling Trocken</t>
  </si>
  <si>
    <t>S001230</t>
  </si>
  <si>
    <t>S001231</t>
  </si>
  <si>
    <t>Defaix Frères Chablis Vieilles Vignes</t>
  </si>
  <si>
    <t>S001232</t>
  </si>
  <si>
    <t>Château Mont-Perat Blanc</t>
  </si>
  <si>
    <t>Vinoseek</t>
    <phoneticPr fontId="2" type="noConversion"/>
  </si>
  <si>
    <t>Domaine A.F. Gros Vosne-Romanée 'Aux Reas'</t>
    <phoneticPr fontId="2" type="noConversion"/>
  </si>
  <si>
    <t>Louis Roederer 'Cristal' Brut (Gift Box)</t>
    <phoneticPr fontId="2" type="noConversion"/>
  </si>
  <si>
    <t xml:space="preserve">Jacques Selosse Lieux-Dits Collection Assortment Case OWC (Discoge: 2022) </t>
    <phoneticPr fontId="2" type="noConversion"/>
  </si>
  <si>
    <t>Winebuff 1-710</t>
    <phoneticPr fontId="2" type="noConversion"/>
  </si>
  <si>
    <t>S000080Château Canon-la-Gaffelière Saint-Émilion Grand Cru Classé2009</t>
  </si>
  <si>
    <t>S000081Château Carbonnieux Pessac-Léognan Blanc Grand Cru Classé2021</t>
  </si>
  <si>
    <t>BK Wines 'Carte Blanche' Rouge</t>
    <phoneticPr fontId="2" type="noConversion"/>
  </si>
  <si>
    <t>BK Wines 'Swaby' Single Vineyard Chardonnay</t>
    <phoneticPr fontId="2" type="noConversion"/>
  </si>
  <si>
    <t>Andre Clouet The V6 Experience Brut</t>
    <phoneticPr fontId="2" type="noConversion"/>
  </si>
  <si>
    <t>Andre Clouet 'Un Jour de 1911' Brut (OCB6)</t>
    <phoneticPr fontId="2" type="noConversion"/>
  </si>
  <si>
    <t xml:space="preserve">Andre Clouet Silver Blanc de Noirs Brut Nature Grand Cru </t>
    <phoneticPr fontId="2" type="noConversion"/>
  </si>
  <si>
    <t xml:space="preserve">Andre Clouet 'Le Clos' Bouzy Brut Grand Cru </t>
    <phoneticPr fontId="2" type="noConversion"/>
  </si>
  <si>
    <t>Andre Clouet 'Spiritum 96' Rosé Grand Cru</t>
    <phoneticPr fontId="2" type="noConversion"/>
  </si>
  <si>
    <t>Bollinger R.D. Extra Brut</t>
    <phoneticPr fontId="2" type="noConversion"/>
  </si>
  <si>
    <t>Bruno Giacosa Nebbiolo d'Alba</t>
    <phoneticPr fontId="2" type="noConversion"/>
  </si>
  <si>
    <t>Bruno Giacosa Dolcetto d'Alba</t>
    <phoneticPr fontId="2" type="noConversion"/>
  </si>
  <si>
    <t>Bouchard Pere &amp; Fils Cote de Nuits-Villages</t>
    <phoneticPr fontId="2" type="noConversion"/>
  </si>
  <si>
    <t>Bruno Giacosa Barbera d'Alba</t>
    <phoneticPr fontId="2" type="noConversion"/>
  </si>
  <si>
    <t>Bernard Magrez Chateau La Tour Carnet</t>
    <phoneticPr fontId="2" type="noConversion"/>
  </si>
  <si>
    <t>Avignonesi Capannelle 50&amp;50 Toscana IGT</t>
    <phoneticPr fontId="2" type="noConversion"/>
  </si>
  <si>
    <t>Bodegas Roda Reserva</t>
    <phoneticPr fontId="2" type="noConversion"/>
  </si>
  <si>
    <t>Bodegas Muga Seleccion Especial Reserva</t>
    <phoneticPr fontId="2" type="noConversion"/>
  </si>
  <si>
    <t>Bad Girl Cremant Blanc NV</t>
    <phoneticPr fontId="2" type="noConversion"/>
  </si>
  <si>
    <t>S000749</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</si>
</sst>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b/>
      <sz val="11"/>
      <name val="新細明體"/>
      <family val="1"/>
      <charset val="136"/>
    </font>
    <font>
      <sz val="9"/>
      <name val="宋体"/>
      <family val="3"/>
      <charset val="136"/>
      <scheme val="minor"/>
    </font>
    <font>
      <b/>
      <sz val="11"/>
      <name val="Calibri"/>
      <family val="2"/>
    </font>
    <font>
      <sz val="11"/>
      <name val="宋体"/>
      <family val="2"/>
      <scheme val="minor"/>
    </font>
    <font>
      <sz val="11"/>
      <color theme="1"/>
      <name val="宋体"/>
      <family val="1"/>
      <charset val="136"/>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3" fillId="0" borderId="1" xfId="0" applyFont="1" applyBorder="1" applyAlignment="1">
      <alignment horizontal="center" vertical="top"/>
    </xf>
    <xf numFmtId="0" fontId="3" fillId="0" borderId="2" xfId="0" applyFont="1" applyBorder="1" applyAlignment="1">
      <alignment horizontal="center" vertical="top"/>
    </xf>
    <xf numFmtId="0" fontId="0" fillId="0" borderId="0" xfId="0" applyAlignment="1">
      <alignment horizontal="center"/>
    </xf>
    <xf numFmtId="0" fontId="0" fillId="0" borderId="0" xfId="0" applyAlignment="1">
      <alignment horizontal="left"/>
    </xf>
    <xf numFmtId="0" fontId="4" fillId="0" borderId="0" xfId="0" applyFont="1" applyAlignment="1">
      <alignment horizontal="left"/>
    </xf>
    <xf numFmtId="0" fontId="5" fillId="0" borderId="0" xfId="0" applyFont="1" applyAlignment="1">
      <alignment horizontal="lef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3"/>
  <sheetViews>
    <sheetView tabSelected="1" workbookViewId="0">
      <selection activeCell="J16" sqref="J16"/>
    </sheetView>
  </sheetViews>
  <sheetFormatPr defaultRowHeight="13.5"/>
  <cols>
    <col min="2" max="2" width="67.125" customWidth="1"/>
    <col min="5" max="7" width="9.125" customWidth="1"/>
    <col min="8" max="8" width="17.625" customWidth="1"/>
    <col min="9" max="14" width="9.125" customWidth="1"/>
    <col min="15" max="15" width="12.875" customWidth="1"/>
    <col min="16" max="16" width="13.625" customWidth="1"/>
    <col min="17" max="17" width="15.25" customWidth="1"/>
    <col min="18" max="19" width="9.125" customWidth="1"/>
    <col min="20" max="20" width="10.875" customWidth="1"/>
    <col min="21" max="21" width="9.125" customWidth="1"/>
    <col min="22" max="22" width="25.625" customWidth="1"/>
    <col min="23" max="23" width="10.25" customWidth="1"/>
    <col min="24" max="24" width="20.625" customWidth="1"/>
    <col min="25" max="25" width="9.125" customWidth="1"/>
    <col min="26" max="26" width="15.25" customWidth="1"/>
    <col min="27" max="28" width="9.125" customWidth="1"/>
  </cols>
  <sheetData>
    <row r="1" spans="1:28"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29</v>
      </c>
      <c r="C2" t="s">
        <v>30</v>
      </c>
      <c r="D2" t="s">
        <v>31</v>
      </c>
      <c r="E2" t="s">
        <v>32</v>
      </c>
      <c r="F2" t="s">
        <v>33</v>
      </c>
      <c r="G2" t="s">
        <v>34</v>
      </c>
      <c r="H2" t="s">
        <v>35</v>
      </c>
      <c r="I2" t="s">
        <v>36</v>
      </c>
      <c r="J2" t="s">
        <v>37</v>
      </c>
      <c r="K2" t="s">
        <v>38</v>
      </c>
      <c r="L2" t="s">
        <v>39</v>
      </c>
      <c r="M2" t="s">
        <v>40</v>
      </c>
      <c r="N2" t="s">
        <v>41</v>
      </c>
      <c r="O2" t="s">
        <v>42</v>
      </c>
      <c r="P2" t="s">
        <v>43</v>
      </c>
      <c r="Q2" t="s">
        <v>44</v>
      </c>
      <c r="R2" t="s">
        <v>45</v>
      </c>
      <c r="S2" t="s">
        <v>46</v>
      </c>
      <c r="T2" t="s">
        <v>47</v>
      </c>
      <c r="U2" t="s">
        <v>46</v>
      </c>
      <c r="V2" t="s">
        <v>48</v>
      </c>
      <c r="W2" t="s">
        <v>49</v>
      </c>
      <c r="X2" t="s">
        <v>50</v>
      </c>
      <c r="Y2" t="s">
        <v>51</v>
      </c>
      <c r="Z2" t="s">
        <v>52</v>
      </c>
      <c r="AA2" t="s">
        <v>53</v>
      </c>
    </row>
    <row r="3" spans="1:28">
      <c r="A3" t="s">
        <v>54</v>
      </c>
      <c r="B3" t="s">
        <v>55</v>
      </c>
      <c r="C3" t="s">
        <v>56</v>
      </c>
      <c r="D3" t="s">
        <v>31</v>
      </c>
      <c r="E3" t="s">
        <v>32</v>
      </c>
      <c r="F3" t="s">
        <v>33</v>
      </c>
      <c r="G3" t="s">
        <v>57</v>
      </c>
      <c r="H3" t="s">
        <v>58</v>
      </c>
      <c r="I3" t="s">
        <v>59</v>
      </c>
      <c r="J3" t="s">
        <v>60</v>
      </c>
      <c r="K3" t="s">
        <v>61</v>
      </c>
      <c r="M3" t="s">
        <v>62</v>
      </c>
      <c r="N3" t="s">
        <v>41</v>
      </c>
      <c r="O3" t="s">
        <v>63</v>
      </c>
      <c r="P3" t="s">
        <v>43</v>
      </c>
      <c r="Q3" t="s">
        <v>64</v>
      </c>
      <c r="R3" t="s">
        <v>45</v>
      </c>
      <c r="S3" t="s">
        <v>46</v>
      </c>
      <c r="T3" t="s">
        <v>65</v>
      </c>
      <c r="U3" t="s">
        <v>46</v>
      </c>
      <c r="V3" t="s">
        <v>48</v>
      </c>
      <c r="W3" t="s">
        <v>66</v>
      </c>
      <c r="X3" t="s">
        <v>67</v>
      </c>
      <c r="Y3" t="s">
        <v>68</v>
      </c>
      <c r="Z3" t="s">
        <v>69</v>
      </c>
      <c r="AA3" t="s">
        <v>70</v>
      </c>
      <c r="AB3" t="s">
        <v>71</v>
      </c>
    </row>
    <row r="4" spans="1:28">
      <c r="A4" t="s">
        <v>72</v>
      </c>
      <c r="B4" t="s">
        <v>55</v>
      </c>
      <c r="C4" t="s">
        <v>30</v>
      </c>
      <c r="D4" t="s">
        <v>31</v>
      </c>
      <c r="E4" t="s">
        <v>32</v>
      </c>
      <c r="F4" t="s">
        <v>33</v>
      </c>
      <c r="G4" t="s">
        <v>57</v>
      </c>
      <c r="H4" t="s">
        <v>58</v>
      </c>
      <c r="I4" t="s">
        <v>59</v>
      </c>
      <c r="J4" t="s">
        <v>60</v>
      </c>
      <c r="K4" t="s">
        <v>61</v>
      </c>
      <c r="M4" t="s">
        <v>73</v>
      </c>
      <c r="N4" t="s">
        <v>41</v>
      </c>
      <c r="O4" t="s">
        <v>74</v>
      </c>
      <c r="P4" t="s">
        <v>43</v>
      </c>
      <c r="Q4" t="s">
        <v>75</v>
      </c>
      <c r="R4" t="s">
        <v>45</v>
      </c>
      <c r="S4" t="s">
        <v>46</v>
      </c>
      <c r="T4" t="s">
        <v>65</v>
      </c>
      <c r="U4" t="s">
        <v>46</v>
      </c>
      <c r="V4" t="s">
        <v>48</v>
      </c>
      <c r="W4" t="s">
        <v>66</v>
      </c>
      <c r="X4" t="s">
        <v>67</v>
      </c>
      <c r="Y4" t="s">
        <v>76</v>
      </c>
      <c r="Z4" t="s">
        <v>77</v>
      </c>
      <c r="AA4" t="s">
        <v>70</v>
      </c>
      <c r="AB4" t="s">
        <v>78</v>
      </c>
    </row>
    <row r="5" spans="1:28">
      <c r="A5" t="s">
        <v>79</v>
      </c>
      <c r="B5" t="s">
        <v>80</v>
      </c>
      <c r="C5" t="s">
        <v>81</v>
      </c>
      <c r="D5" t="s">
        <v>31</v>
      </c>
      <c r="E5" t="s">
        <v>32</v>
      </c>
      <c r="F5" t="s">
        <v>33</v>
      </c>
      <c r="G5" t="s">
        <v>34</v>
      </c>
      <c r="H5" t="s">
        <v>82</v>
      </c>
      <c r="I5" t="s">
        <v>36</v>
      </c>
      <c r="J5" t="s">
        <v>83</v>
      </c>
      <c r="K5" t="s">
        <v>84</v>
      </c>
      <c r="L5" t="s">
        <v>39</v>
      </c>
      <c r="M5" t="s">
        <v>85</v>
      </c>
      <c r="N5" t="s">
        <v>41</v>
      </c>
      <c r="O5" t="s">
        <v>86</v>
      </c>
      <c r="P5" t="s">
        <v>43</v>
      </c>
      <c r="Q5" t="s">
        <v>87</v>
      </c>
      <c r="R5" t="s">
        <v>45</v>
      </c>
      <c r="S5" t="s">
        <v>46</v>
      </c>
      <c r="T5" t="s">
        <v>47</v>
      </c>
      <c r="U5" t="s">
        <v>46</v>
      </c>
      <c r="V5" t="s">
        <v>48</v>
      </c>
      <c r="W5" t="s">
        <v>49</v>
      </c>
      <c r="X5" t="s">
        <v>50</v>
      </c>
      <c r="Y5" t="s">
        <v>88</v>
      </c>
      <c r="Z5" t="s">
        <v>89</v>
      </c>
      <c r="AA5" t="s">
        <v>90</v>
      </c>
    </row>
    <row r="6" spans="1:28">
      <c r="A6" t="s">
        <v>1585</v>
      </c>
      <c r="B6" t="s">
        <v>1586</v>
      </c>
      <c r="C6" t="s">
        <v>713</v>
      </c>
      <c r="D6" t="s">
        <v>31</v>
      </c>
      <c r="E6" t="s">
        <v>181</v>
      </c>
      <c r="F6" t="s">
        <v>808</v>
      </c>
      <c r="G6" t="s">
        <v>809</v>
      </c>
      <c r="H6" t="s">
        <v>1587</v>
      </c>
      <c r="I6" t="s">
        <v>810</v>
      </c>
      <c r="J6" t="s">
        <v>1381</v>
      </c>
      <c r="K6" t="s">
        <v>838</v>
      </c>
      <c r="L6" t="s">
        <v>1588</v>
      </c>
      <c r="M6" t="s">
        <v>94</v>
      </c>
      <c r="N6" t="s">
        <v>1589</v>
      </c>
      <c r="O6" t="s">
        <v>1590</v>
      </c>
      <c r="P6" t="s">
        <v>1591</v>
      </c>
      <c r="Q6" t="s">
        <v>1592</v>
      </c>
      <c r="R6" t="s">
        <v>1382</v>
      </c>
      <c r="S6" t="s">
        <v>104</v>
      </c>
      <c r="T6" t="s">
        <v>47</v>
      </c>
      <c r="U6" t="s">
        <v>105</v>
      </c>
      <c r="V6" t="s">
        <v>1593</v>
      </c>
      <c r="W6" t="s">
        <v>1594</v>
      </c>
      <c r="X6" t="s">
        <v>1595</v>
      </c>
      <c r="Y6" t="s">
        <v>1596</v>
      </c>
      <c r="Z6" t="s">
        <v>1597</v>
      </c>
      <c r="AA6" t="s">
        <v>90</v>
      </c>
    </row>
    <row r="7" spans="1:28">
      <c r="A7" t="s">
        <v>1598</v>
      </c>
      <c r="B7" t="s">
        <v>1599</v>
      </c>
      <c r="C7" t="s">
        <v>1600</v>
      </c>
      <c r="D7" t="s">
        <v>31</v>
      </c>
      <c r="E7" t="s">
        <v>181</v>
      </c>
      <c r="F7" t="s">
        <v>808</v>
      </c>
      <c r="G7" t="s">
        <v>809</v>
      </c>
      <c r="H7" t="s">
        <v>1587</v>
      </c>
      <c r="I7" t="s">
        <v>810</v>
      </c>
      <c r="J7" t="s">
        <v>1381</v>
      </c>
      <c r="K7" t="s">
        <v>173</v>
      </c>
      <c r="L7" t="s">
        <v>1601</v>
      </c>
      <c r="M7" t="s">
        <v>73</v>
      </c>
      <c r="N7" t="s">
        <v>1589</v>
      </c>
      <c r="O7" t="s">
        <v>1602</v>
      </c>
      <c r="P7" t="s">
        <v>1591</v>
      </c>
      <c r="Q7" t="s">
        <v>1603</v>
      </c>
      <c r="R7" t="s">
        <v>557</v>
      </c>
      <c r="S7" t="s">
        <v>104</v>
      </c>
      <c r="T7" t="s">
        <v>47</v>
      </c>
      <c r="U7" t="s">
        <v>105</v>
      </c>
      <c r="V7" t="s">
        <v>1604</v>
      </c>
      <c r="W7" t="s">
        <v>1605</v>
      </c>
      <c r="X7" t="s">
        <v>1606</v>
      </c>
      <c r="Y7" t="s">
        <v>1607</v>
      </c>
      <c r="Z7" t="s">
        <v>1608</v>
      </c>
      <c r="AA7" t="s">
        <v>106</v>
      </c>
    </row>
    <row r="8" spans="1:28">
      <c r="A8" t="s">
        <v>1609</v>
      </c>
      <c r="B8" t="s">
        <v>1599</v>
      </c>
      <c r="C8" t="s">
        <v>425</v>
      </c>
      <c r="D8" t="s">
        <v>31</v>
      </c>
      <c r="E8" t="s">
        <v>181</v>
      </c>
      <c r="F8" t="s">
        <v>808</v>
      </c>
      <c r="G8" t="s">
        <v>809</v>
      </c>
      <c r="H8" t="s">
        <v>1587</v>
      </c>
      <c r="I8" t="s">
        <v>810</v>
      </c>
      <c r="J8" t="s">
        <v>1381</v>
      </c>
      <c r="K8" t="s">
        <v>173</v>
      </c>
      <c r="L8" t="s">
        <v>1601</v>
      </c>
      <c r="M8" t="s">
        <v>62</v>
      </c>
      <c r="N8" t="s">
        <v>1589</v>
      </c>
      <c r="O8" t="s">
        <v>1610</v>
      </c>
      <c r="P8" t="s">
        <v>1591</v>
      </c>
      <c r="Q8" t="s">
        <v>1611</v>
      </c>
      <c r="R8" t="s">
        <v>557</v>
      </c>
      <c r="S8" t="s">
        <v>46</v>
      </c>
      <c r="T8" t="s">
        <v>47</v>
      </c>
      <c r="U8" t="s">
        <v>105</v>
      </c>
      <c r="V8" t="s">
        <v>1612</v>
      </c>
      <c r="W8" t="s">
        <v>1613</v>
      </c>
      <c r="X8" t="s">
        <v>1614</v>
      </c>
      <c r="Y8" t="s">
        <v>1615</v>
      </c>
      <c r="Z8" t="s">
        <v>1616</v>
      </c>
      <c r="AA8" t="s">
        <v>106</v>
      </c>
    </row>
    <row r="9" spans="1:28">
      <c r="A9" t="s">
        <v>1617</v>
      </c>
      <c r="B9" t="s">
        <v>1618</v>
      </c>
      <c r="C9" t="s">
        <v>917</v>
      </c>
      <c r="D9" t="s">
        <v>31</v>
      </c>
      <c r="E9" t="s">
        <v>181</v>
      </c>
      <c r="F9" t="s">
        <v>808</v>
      </c>
      <c r="G9" t="s">
        <v>809</v>
      </c>
      <c r="H9" t="s">
        <v>1587</v>
      </c>
      <c r="I9" t="s">
        <v>810</v>
      </c>
      <c r="J9" t="s">
        <v>1381</v>
      </c>
      <c r="K9" t="s">
        <v>173</v>
      </c>
      <c r="L9" t="s">
        <v>1601</v>
      </c>
      <c r="M9" t="s">
        <v>40</v>
      </c>
      <c r="N9" t="s">
        <v>1589</v>
      </c>
      <c r="O9" t="s">
        <v>1619</v>
      </c>
      <c r="Q9" t="s">
        <v>1620</v>
      </c>
      <c r="R9" t="s">
        <v>557</v>
      </c>
      <c r="S9" t="s">
        <v>104</v>
      </c>
      <c r="T9" t="s">
        <v>47</v>
      </c>
      <c r="U9" t="s">
        <v>105</v>
      </c>
      <c r="V9" t="s">
        <v>1604</v>
      </c>
      <c r="W9" t="s">
        <v>1605</v>
      </c>
      <c r="X9" t="s">
        <v>1606</v>
      </c>
      <c r="Y9" t="s">
        <v>1621</v>
      </c>
      <c r="Z9" t="s">
        <v>1622</v>
      </c>
      <c r="AA9" t="s">
        <v>106</v>
      </c>
    </row>
    <row r="10" spans="1:28">
      <c r="A10" t="s">
        <v>1652</v>
      </c>
      <c r="B10" t="s">
        <v>1653</v>
      </c>
      <c r="C10" t="s">
        <v>30</v>
      </c>
      <c r="D10" t="s">
        <v>31</v>
      </c>
      <c r="E10" t="s">
        <v>181</v>
      </c>
      <c r="F10" t="s">
        <v>217</v>
      </c>
      <c r="G10" t="s">
        <v>1633</v>
      </c>
      <c r="H10" t="s">
        <v>1633</v>
      </c>
      <c r="I10" t="s">
        <v>1654</v>
      </c>
      <c r="J10" t="s">
        <v>60</v>
      </c>
      <c r="K10" t="s">
        <v>182</v>
      </c>
      <c r="M10" t="s">
        <v>62</v>
      </c>
      <c r="N10" t="s">
        <v>1649</v>
      </c>
      <c r="O10" t="s">
        <v>1655</v>
      </c>
      <c r="R10" t="s">
        <v>45</v>
      </c>
      <c r="S10" t="s">
        <v>46</v>
      </c>
      <c r="T10" t="s">
        <v>47</v>
      </c>
      <c r="U10" t="s">
        <v>105</v>
      </c>
      <c r="V10" t="s">
        <v>1656</v>
      </c>
      <c r="W10" t="s">
        <v>1657</v>
      </c>
      <c r="X10" t="s">
        <v>1399</v>
      </c>
      <c r="Y10" t="s">
        <v>1658</v>
      </c>
      <c r="Z10" t="s">
        <v>1659</v>
      </c>
      <c r="AA10" t="s">
        <v>70</v>
      </c>
    </row>
    <row r="11" spans="1:28">
      <c r="A11" t="s">
        <v>1660</v>
      </c>
      <c r="B11" t="s">
        <v>1661</v>
      </c>
      <c r="C11" t="s">
        <v>1537</v>
      </c>
      <c r="D11" t="s">
        <v>31</v>
      </c>
      <c r="E11" t="s">
        <v>181</v>
      </c>
      <c r="F11" t="s">
        <v>217</v>
      </c>
      <c r="G11" t="s">
        <v>1633</v>
      </c>
      <c r="H11" t="s">
        <v>1633</v>
      </c>
      <c r="I11" t="s">
        <v>1662</v>
      </c>
      <c r="J11" t="s">
        <v>60</v>
      </c>
      <c r="K11" t="s">
        <v>182</v>
      </c>
      <c r="M11" t="s">
        <v>94</v>
      </c>
      <c r="N11" t="s">
        <v>1649</v>
      </c>
      <c r="O11" t="s">
        <v>1663</v>
      </c>
      <c r="Q11" t="s">
        <v>1664</v>
      </c>
      <c r="R11" t="s">
        <v>1562</v>
      </c>
      <c r="S11" t="s">
        <v>46</v>
      </c>
      <c r="T11" t="s">
        <v>46</v>
      </c>
      <c r="U11" t="s">
        <v>105</v>
      </c>
      <c r="V11" t="s">
        <v>1665</v>
      </c>
      <c r="W11" t="s">
        <v>1666</v>
      </c>
      <c r="Y11" t="s">
        <v>1667</v>
      </c>
      <c r="Z11" t="s">
        <v>1668</v>
      </c>
      <c r="AA11" t="s">
        <v>70</v>
      </c>
    </row>
    <row r="12" spans="1:28">
      <c r="A12" t="s">
        <v>1669</v>
      </c>
      <c r="B12" t="s">
        <v>1670</v>
      </c>
      <c r="C12" t="s">
        <v>1537</v>
      </c>
      <c r="D12" t="s">
        <v>31</v>
      </c>
      <c r="E12" t="s">
        <v>181</v>
      </c>
      <c r="F12" t="s">
        <v>217</v>
      </c>
      <c r="G12" t="s">
        <v>1633</v>
      </c>
      <c r="H12" t="s">
        <v>1633</v>
      </c>
      <c r="I12" t="s">
        <v>810</v>
      </c>
      <c r="J12" t="s">
        <v>103</v>
      </c>
      <c r="K12" t="s">
        <v>182</v>
      </c>
      <c r="M12" t="s">
        <v>40</v>
      </c>
      <c r="N12" t="s">
        <v>1649</v>
      </c>
      <c r="O12" t="s">
        <v>1671</v>
      </c>
      <c r="R12" t="s">
        <v>45</v>
      </c>
      <c r="S12" t="s">
        <v>104</v>
      </c>
      <c r="T12" t="s">
        <v>47</v>
      </c>
      <c r="U12" t="s">
        <v>105</v>
      </c>
      <c r="V12" t="s">
        <v>1672</v>
      </c>
      <c r="W12" t="s">
        <v>1644</v>
      </c>
      <c r="X12" t="s">
        <v>1630</v>
      </c>
      <c r="Y12" t="s">
        <v>1673</v>
      </c>
      <c r="Z12" t="s">
        <v>1674</v>
      </c>
      <c r="AA12" t="s">
        <v>70</v>
      </c>
    </row>
    <row r="13" spans="1:28">
      <c r="A13" t="s">
        <v>1675</v>
      </c>
      <c r="B13" t="s">
        <v>1676</v>
      </c>
      <c r="C13" t="s">
        <v>30</v>
      </c>
      <c r="D13" t="s">
        <v>31</v>
      </c>
      <c r="E13" t="s">
        <v>181</v>
      </c>
      <c r="F13" t="s">
        <v>217</v>
      </c>
      <c r="G13" t="s">
        <v>1633</v>
      </c>
      <c r="H13" t="s">
        <v>1677</v>
      </c>
      <c r="I13" t="s">
        <v>1574</v>
      </c>
      <c r="J13" t="s">
        <v>60</v>
      </c>
      <c r="K13" t="s">
        <v>487</v>
      </c>
      <c r="M13" t="s">
        <v>62</v>
      </c>
      <c r="N13" t="s">
        <v>1649</v>
      </c>
      <c r="O13" t="s">
        <v>1678</v>
      </c>
      <c r="Q13" t="s">
        <v>1679</v>
      </c>
      <c r="R13" t="s">
        <v>45</v>
      </c>
      <c r="S13" t="s">
        <v>46</v>
      </c>
      <c r="T13" t="s">
        <v>47</v>
      </c>
      <c r="U13" t="s">
        <v>105</v>
      </c>
      <c r="V13" t="s">
        <v>1680</v>
      </c>
      <c r="W13" t="s">
        <v>1681</v>
      </c>
      <c r="X13" t="s">
        <v>1682</v>
      </c>
      <c r="Y13" t="s">
        <v>1683</v>
      </c>
      <c r="Z13" t="s">
        <v>1684</v>
      </c>
      <c r="AA13" t="s">
        <v>70</v>
      </c>
      <c r="AB13" t="s">
        <v>1685</v>
      </c>
    </row>
  </sheetData>
  <autoFilter ref="A1:AB13" xr:uid="{00000000-0001-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0F3E5-C8E4-4662-B312-A77BB2C955E4}">
  <dimension ref="A1:L1231"/>
  <sheetViews>
    <sheetView topLeftCell="F826" workbookViewId="0">
      <selection activeCell="J827" sqref="J827"/>
    </sheetView>
  </sheetViews>
  <sheetFormatPr defaultRowHeight="13.5"/>
  <cols>
    <col min="2" max="2" width="24.125" customWidth="1"/>
    <col min="4" max="4" width="65.875" customWidth="1"/>
    <col min="5" max="5" width="22.125" customWidth="1"/>
    <col min="6" max="6" width="9.125" customWidth="1"/>
    <col min="7" max="7" width="78.375" customWidth="1"/>
    <col min="8" max="8" width="9.125" customWidth="1"/>
    <col min="9" max="9" width="63.5" customWidth="1"/>
  </cols>
  <sheetData>
    <row r="1" spans="1:10" ht="15.75">
      <c r="A1" s="1" t="s">
        <v>0</v>
      </c>
      <c r="B1" s="1" t="s">
        <v>1</v>
      </c>
      <c r="C1" s="1" t="s">
        <v>2</v>
      </c>
      <c r="D1" s="2" t="s">
        <v>2426</v>
      </c>
      <c r="E1" s="2"/>
      <c r="F1" s="3" t="s">
        <v>0</v>
      </c>
      <c r="G1" s="3" t="s">
        <v>1</v>
      </c>
      <c r="H1" s="3" t="s">
        <v>2</v>
      </c>
      <c r="I1" s="4" t="s">
        <v>2430</v>
      </c>
    </row>
    <row r="2" spans="1:10">
      <c r="A2" t="s">
        <v>28</v>
      </c>
      <c r="B2" t="s">
        <v>29</v>
      </c>
      <c r="C2" t="s">
        <v>30</v>
      </c>
      <c r="D2" t="str">
        <f>A2&amp;B2&amp;C2</f>
        <v>S000001Domaine A.F. Gros Clos-de-Vougeot Grand Cru2022</v>
      </c>
      <c r="E2">
        <f>IF(A2=F2,1,0)</f>
        <v>1</v>
      </c>
      <c r="F2" t="s">
        <v>28</v>
      </c>
      <c r="G2" t="s">
        <v>29</v>
      </c>
      <c r="H2" t="s">
        <v>30</v>
      </c>
      <c r="I2" t="str">
        <f>F2&amp;G2&amp;H2</f>
        <v>S000001Domaine A.F. Gros Clos-de-Vougeot Grand Cru2022</v>
      </c>
      <c r="J2">
        <f>IF(D2=I2,1,0)</f>
        <v>1</v>
      </c>
    </row>
    <row r="3" spans="1:10">
      <c r="A3" t="s">
        <v>54</v>
      </c>
      <c r="B3" t="s">
        <v>55</v>
      </c>
      <c r="C3" t="s">
        <v>56</v>
      </c>
      <c r="D3" t="str">
        <f t="shared" ref="D3:D66" si="0">A3&amp;B3&amp;C3</f>
        <v>S000002Domaine A.F. Gros Moulin-a-Vent en Montperay2021</v>
      </c>
      <c r="E3">
        <f t="shared" ref="E3:E66" si="1">IF(A3=F3,1,0)</f>
        <v>1</v>
      </c>
      <c r="F3" t="s">
        <v>54</v>
      </c>
      <c r="G3" t="s">
        <v>55</v>
      </c>
      <c r="H3" t="s">
        <v>56</v>
      </c>
      <c r="I3" t="str">
        <f t="shared" ref="I3:I66" si="2">F3&amp;G3&amp;H3</f>
        <v>S000002Domaine A.F. Gros Moulin-a-Vent en Montperay2021</v>
      </c>
      <c r="J3">
        <f t="shared" ref="J3:J66" si="3">IF(D3=I3,1,0)</f>
        <v>1</v>
      </c>
    </row>
    <row r="4" spans="1:10">
      <c r="A4" t="s">
        <v>72</v>
      </c>
      <c r="B4" t="s">
        <v>55</v>
      </c>
      <c r="C4" t="s">
        <v>30</v>
      </c>
      <c r="D4" t="str">
        <f t="shared" si="0"/>
        <v>S000003Domaine A.F. Gros Moulin-a-Vent en Montperay2022</v>
      </c>
      <c r="E4">
        <f t="shared" si="1"/>
        <v>1</v>
      </c>
      <c r="F4" t="s">
        <v>72</v>
      </c>
      <c r="G4" t="s">
        <v>55</v>
      </c>
      <c r="H4" t="s">
        <v>30</v>
      </c>
      <c r="I4" t="str">
        <f t="shared" si="2"/>
        <v>S000003Domaine A.F. Gros Moulin-a-Vent en Montperay2022</v>
      </c>
      <c r="J4">
        <f t="shared" si="3"/>
        <v>1</v>
      </c>
    </row>
    <row r="5" spans="1:10">
      <c r="A5" t="s">
        <v>79</v>
      </c>
      <c r="B5" t="s">
        <v>80</v>
      </c>
      <c r="C5" t="s">
        <v>81</v>
      </c>
      <c r="D5" t="str">
        <f t="shared" si="0"/>
        <v>S000004Domaine A.F. Gros Richebourg Grand Cru2019</v>
      </c>
      <c r="E5">
        <f t="shared" si="1"/>
        <v>1</v>
      </c>
      <c r="F5" t="s">
        <v>79</v>
      </c>
      <c r="G5" t="s">
        <v>80</v>
      </c>
      <c r="H5" t="s">
        <v>81</v>
      </c>
      <c r="I5" t="str">
        <f t="shared" si="2"/>
        <v>S000004Domaine A.F. Gros Richebourg Grand Cru2019</v>
      </c>
      <c r="J5">
        <f t="shared" si="3"/>
        <v>1</v>
      </c>
    </row>
    <row r="6" spans="1:10">
      <c r="A6" t="s">
        <v>91</v>
      </c>
      <c r="B6" t="s">
        <v>80</v>
      </c>
      <c r="C6" t="s">
        <v>92</v>
      </c>
      <c r="D6" t="str">
        <f t="shared" si="0"/>
        <v>S000005Domaine A.F. Gros Richebourg Grand Cru2020</v>
      </c>
      <c r="E6">
        <f t="shared" si="1"/>
        <v>1</v>
      </c>
      <c r="F6" t="s">
        <v>91</v>
      </c>
      <c r="G6" t="s">
        <v>80</v>
      </c>
      <c r="H6" t="s">
        <v>92</v>
      </c>
      <c r="I6" t="str">
        <f t="shared" si="2"/>
        <v>S000005Domaine A.F. Gros Richebourg Grand Cru2020</v>
      </c>
      <c r="J6">
        <f t="shared" si="3"/>
        <v>1</v>
      </c>
    </row>
    <row r="7" spans="1:10">
      <c r="A7" t="s">
        <v>93</v>
      </c>
      <c r="B7" t="s">
        <v>80</v>
      </c>
      <c r="C7" t="s">
        <v>56</v>
      </c>
      <c r="D7" t="str">
        <f t="shared" si="0"/>
        <v>S000006Domaine A.F. Gros Richebourg Grand Cru2021</v>
      </c>
      <c r="E7">
        <f t="shared" si="1"/>
        <v>1</v>
      </c>
      <c r="F7" t="s">
        <v>93</v>
      </c>
      <c r="G7" t="s">
        <v>80</v>
      </c>
      <c r="H7" t="s">
        <v>56</v>
      </c>
      <c r="I7" t="str">
        <f t="shared" si="2"/>
        <v>S000006Domaine A.F. Gros Richebourg Grand Cru2021</v>
      </c>
      <c r="J7">
        <f t="shared" si="3"/>
        <v>1</v>
      </c>
    </row>
    <row r="8" spans="1:10">
      <c r="A8" t="s">
        <v>95</v>
      </c>
      <c r="B8" t="s">
        <v>96</v>
      </c>
      <c r="C8" t="s">
        <v>30</v>
      </c>
      <c r="D8" t="str">
        <f t="shared" si="0"/>
        <v>S000007Domaine A.F. Gros Vosne-Romanée 'Aux Reas'2022</v>
      </c>
      <c r="E8">
        <f t="shared" si="1"/>
        <v>1</v>
      </c>
      <c r="F8" t="s">
        <v>95</v>
      </c>
      <c r="G8" t="s">
        <v>2427</v>
      </c>
      <c r="H8" t="s">
        <v>30</v>
      </c>
      <c r="I8" t="str">
        <f t="shared" si="2"/>
        <v>S000007Domaine A.F. Gros Vosne-Romanée 'Aux Reas'2022</v>
      </c>
      <c r="J8">
        <f t="shared" si="3"/>
        <v>1</v>
      </c>
    </row>
    <row r="9" spans="1:10">
      <c r="A9" t="s">
        <v>97</v>
      </c>
      <c r="B9" t="s">
        <v>98</v>
      </c>
      <c r="C9" t="s">
        <v>81</v>
      </c>
      <c r="D9" t="str">
        <f t="shared" si="0"/>
        <v>S000008Chateau Angelus Saint-Émilion Premier Grand Cru Classé2019</v>
      </c>
      <c r="E9">
        <f t="shared" si="1"/>
        <v>1</v>
      </c>
      <c r="F9" t="s">
        <v>97</v>
      </c>
      <c r="G9" t="s">
        <v>98</v>
      </c>
      <c r="H9" t="s">
        <v>81</v>
      </c>
      <c r="I9" t="str">
        <f t="shared" si="2"/>
        <v>S000008Chateau Angelus Saint-Émilion Premier Grand Cru Classé2019</v>
      </c>
      <c r="J9">
        <f t="shared" si="3"/>
        <v>1</v>
      </c>
    </row>
    <row r="10" spans="1:10">
      <c r="A10" t="s">
        <v>99</v>
      </c>
      <c r="B10" t="s">
        <v>100</v>
      </c>
      <c r="C10" t="s">
        <v>56</v>
      </c>
      <c r="D10" t="str">
        <f t="shared" si="0"/>
        <v>S000009Domaine Anne Gros Echezeaux 'Les Loachausses' Grand Cru2021</v>
      </c>
      <c r="E10">
        <f t="shared" si="1"/>
        <v>1</v>
      </c>
      <c r="F10" t="s">
        <v>99</v>
      </c>
      <c r="G10" t="s">
        <v>100</v>
      </c>
      <c r="H10" t="s">
        <v>56</v>
      </c>
      <c r="I10" t="str">
        <f t="shared" si="2"/>
        <v>S000009Domaine Anne Gros Echezeaux 'Les Loachausses' Grand Cru2021</v>
      </c>
      <c r="J10">
        <f t="shared" si="3"/>
        <v>1</v>
      </c>
    </row>
    <row r="11" spans="1:10">
      <c r="A11" t="s">
        <v>101</v>
      </c>
      <c r="B11" t="s">
        <v>102</v>
      </c>
      <c r="C11" t="s">
        <v>92</v>
      </c>
      <c r="D11" t="str">
        <f t="shared" si="0"/>
        <v>S000010Antoine Chevalier 'Carkonnia' Blanc de Blancs Extra Brut Millesime2020</v>
      </c>
      <c r="E11">
        <f t="shared" si="1"/>
        <v>1</v>
      </c>
      <c r="F11" t="s">
        <v>101</v>
      </c>
      <c r="G11" t="s">
        <v>102</v>
      </c>
      <c r="H11" t="s">
        <v>92</v>
      </c>
      <c r="I11" t="str">
        <f t="shared" si="2"/>
        <v>S000010Antoine Chevalier 'Carkonnia' Blanc de Blancs Extra Brut Millesime2020</v>
      </c>
      <c r="J11">
        <f t="shared" si="3"/>
        <v>1</v>
      </c>
    </row>
    <row r="12" spans="1:10">
      <c r="A12" t="s">
        <v>107</v>
      </c>
      <c r="B12" t="s">
        <v>108</v>
      </c>
      <c r="C12" t="s">
        <v>92</v>
      </c>
      <c r="D12" t="str">
        <f t="shared" si="0"/>
        <v>S000011Antoine Chevalier 'Tecta Silva' Blanc de Blancs Extra Brut2020</v>
      </c>
      <c r="E12">
        <f t="shared" si="1"/>
        <v>1</v>
      </c>
      <c r="F12" t="s">
        <v>107</v>
      </c>
      <c r="G12" t="s">
        <v>108</v>
      </c>
      <c r="H12" t="s">
        <v>92</v>
      </c>
      <c r="I12" t="str">
        <f t="shared" si="2"/>
        <v>S000011Antoine Chevalier 'Tecta Silva' Blanc de Blancs Extra Brut2020</v>
      </c>
      <c r="J12">
        <f t="shared" si="3"/>
        <v>1</v>
      </c>
    </row>
    <row r="13" spans="1:10">
      <c r="A13" t="s">
        <v>109</v>
      </c>
      <c r="B13" t="s">
        <v>110</v>
      </c>
      <c r="C13" t="s">
        <v>111</v>
      </c>
      <c r="D13" t="str">
        <f t="shared" si="0"/>
        <v>S000012Domaine Arlaud Charmes-Chambertin Grand Cru2013</v>
      </c>
      <c r="E13">
        <f t="shared" si="1"/>
        <v>1</v>
      </c>
      <c r="F13" t="s">
        <v>109</v>
      </c>
      <c r="G13" t="s">
        <v>110</v>
      </c>
      <c r="H13" t="s">
        <v>111</v>
      </c>
      <c r="I13" t="str">
        <f t="shared" si="2"/>
        <v>S000012Domaine Arlaud Charmes-Chambertin Grand Cru2013</v>
      </c>
      <c r="J13">
        <f t="shared" si="3"/>
        <v>1</v>
      </c>
    </row>
    <row r="14" spans="1:10">
      <c r="A14" t="s">
        <v>112</v>
      </c>
      <c r="B14" t="s">
        <v>113</v>
      </c>
      <c r="C14" t="s">
        <v>114</v>
      </c>
      <c r="D14" t="str">
        <f t="shared" si="0"/>
        <v>S000013Domaine Arlaud Morey-Saint-Denis2014</v>
      </c>
      <c r="E14">
        <f t="shared" si="1"/>
        <v>1</v>
      </c>
      <c r="F14" t="s">
        <v>112</v>
      </c>
      <c r="G14" t="s">
        <v>113</v>
      </c>
      <c r="H14" t="s">
        <v>114</v>
      </c>
      <c r="I14" t="str">
        <f t="shared" si="2"/>
        <v>S000013Domaine Arlaud Morey-Saint-Denis2014</v>
      </c>
      <c r="J14">
        <f t="shared" si="3"/>
        <v>1</v>
      </c>
    </row>
    <row r="15" spans="1:10">
      <c r="A15" t="s">
        <v>115</v>
      </c>
      <c r="B15" t="s">
        <v>116</v>
      </c>
      <c r="C15" t="s">
        <v>114</v>
      </c>
      <c r="D15" t="str">
        <f t="shared" si="0"/>
        <v>S000014Domaine Armand Rousseau Pere et Fils Gevrey-Chambertin 'Clos Saint-Jacques' Premier Cru2014</v>
      </c>
      <c r="E15">
        <f t="shared" si="1"/>
        <v>1</v>
      </c>
      <c r="F15" t="s">
        <v>115</v>
      </c>
      <c r="G15" t="s">
        <v>116</v>
      </c>
      <c r="H15" t="s">
        <v>114</v>
      </c>
      <c r="I15" t="str">
        <f t="shared" si="2"/>
        <v>S000014Domaine Armand Rousseau Pere et Fils Gevrey-Chambertin 'Clos Saint-Jacques' Premier Cru2014</v>
      </c>
      <c r="J15">
        <f t="shared" si="3"/>
        <v>1</v>
      </c>
    </row>
    <row r="16" spans="1:10">
      <c r="A16" t="s">
        <v>117</v>
      </c>
      <c r="B16" t="s">
        <v>116</v>
      </c>
      <c r="C16" t="s">
        <v>118</v>
      </c>
      <c r="D16" t="str">
        <f t="shared" si="0"/>
        <v>S000015Domaine Armand Rousseau Pere et Fils Gevrey-Chambertin 'Clos Saint-Jacques' Premier Cru2018</v>
      </c>
      <c r="E16">
        <f t="shared" si="1"/>
        <v>1</v>
      </c>
      <c r="F16" t="s">
        <v>117</v>
      </c>
      <c r="G16" t="s">
        <v>116</v>
      </c>
      <c r="H16" t="s">
        <v>118</v>
      </c>
      <c r="I16" t="str">
        <f t="shared" si="2"/>
        <v>S000015Domaine Armand Rousseau Pere et Fils Gevrey-Chambertin 'Clos Saint-Jacques' Premier Cru2018</v>
      </c>
      <c r="J16">
        <f t="shared" si="3"/>
        <v>1</v>
      </c>
    </row>
    <row r="17" spans="1:10">
      <c r="A17" t="s">
        <v>119</v>
      </c>
      <c r="B17" t="s">
        <v>120</v>
      </c>
      <c r="C17" t="s">
        <v>121</v>
      </c>
      <c r="D17" t="str">
        <f t="shared" si="0"/>
        <v>S000016Domaine Armand Rousseau Pere et Fils Chambertin Clos-de-Beze Grand Cru2001</v>
      </c>
      <c r="E17">
        <f t="shared" si="1"/>
        <v>1</v>
      </c>
      <c r="F17" t="s">
        <v>119</v>
      </c>
      <c r="G17" t="s">
        <v>120</v>
      </c>
      <c r="H17" t="s">
        <v>121</v>
      </c>
      <c r="I17" t="str">
        <f t="shared" si="2"/>
        <v>S000016Domaine Armand Rousseau Pere et Fils Chambertin Clos-de-Beze Grand Cru2001</v>
      </c>
      <c r="J17">
        <f t="shared" si="3"/>
        <v>1</v>
      </c>
    </row>
    <row r="18" spans="1:10">
      <c r="A18" t="s">
        <v>122</v>
      </c>
      <c r="B18" t="s">
        <v>120</v>
      </c>
      <c r="C18" t="s">
        <v>123</v>
      </c>
      <c r="D18" t="str">
        <f t="shared" si="0"/>
        <v>S000017Domaine Armand Rousseau Pere et Fils Chambertin Clos-de-Beze Grand Cru2006</v>
      </c>
      <c r="E18">
        <f t="shared" si="1"/>
        <v>1</v>
      </c>
      <c r="F18" t="s">
        <v>122</v>
      </c>
      <c r="G18" t="s">
        <v>120</v>
      </c>
      <c r="H18" t="s">
        <v>123</v>
      </c>
      <c r="I18" t="str">
        <f t="shared" si="2"/>
        <v>S000017Domaine Armand Rousseau Pere et Fils Chambertin Clos-de-Beze Grand Cru2006</v>
      </c>
      <c r="J18">
        <f t="shared" si="3"/>
        <v>1</v>
      </c>
    </row>
    <row r="19" spans="1:10">
      <c r="A19" t="s">
        <v>124</v>
      </c>
      <c r="B19" t="s">
        <v>120</v>
      </c>
      <c r="C19" t="s">
        <v>125</v>
      </c>
      <c r="D19" t="str">
        <f t="shared" si="0"/>
        <v>S000018Domaine Armand Rousseau Pere et Fils Chambertin Clos-de-Beze Grand Cru2008</v>
      </c>
      <c r="E19">
        <f t="shared" si="1"/>
        <v>1</v>
      </c>
      <c r="F19" t="s">
        <v>124</v>
      </c>
      <c r="G19" t="s">
        <v>120</v>
      </c>
      <c r="H19" t="s">
        <v>125</v>
      </c>
      <c r="I19" t="str">
        <f t="shared" si="2"/>
        <v>S000018Domaine Armand Rousseau Pere et Fils Chambertin Clos-de-Beze Grand Cru2008</v>
      </c>
      <c r="J19">
        <f t="shared" si="3"/>
        <v>1</v>
      </c>
    </row>
    <row r="20" spans="1:10">
      <c r="A20" t="s">
        <v>126</v>
      </c>
      <c r="B20" t="s">
        <v>120</v>
      </c>
      <c r="C20" t="s">
        <v>127</v>
      </c>
      <c r="D20" t="str">
        <f t="shared" si="0"/>
        <v>S000019Domaine Armand Rousseau Pere et Fils Chambertin Clos-de-Beze Grand Cru2009</v>
      </c>
      <c r="E20">
        <f t="shared" si="1"/>
        <v>1</v>
      </c>
      <c r="F20" t="s">
        <v>126</v>
      </c>
      <c r="G20" t="s">
        <v>120</v>
      </c>
      <c r="H20" t="s">
        <v>127</v>
      </c>
      <c r="I20" t="str">
        <f t="shared" si="2"/>
        <v>S000019Domaine Armand Rousseau Pere et Fils Chambertin Clos-de-Beze Grand Cru2009</v>
      </c>
      <c r="J20">
        <f t="shared" si="3"/>
        <v>1</v>
      </c>
    </row>
    <row r="21" spans="1:10">
      <c r="A21" t="s">
        <v>128</v>
      </c>
      <c r="B21" t="s">
        <v>120</v>
      </c>
      <c r="C21" t="s">
        <v>129</v>
      </c>
      <c r="D21" t="str">
        <f t="shared" si="0"/>
        <v>S000020Domaine Armand Rousseau Pere et Fils Chambertin Clos-de-Beze Grand Cru2016</v>
      </c>
      <c r="E21">
        <f t="shared" si="1"/>
        <v>1</v>
      </c>
      <c r="F21" t="s">
        <v>128</v>
      </c>
      <c r="G21" t="s">
        <v>120</v>
      </c>
      <c r="H21" t="s">
        <v>129</v>
      </c>
      <c r="I21" t="str">
        <f t="shared" si="2"/>
        <v>S000020Domaine Armand Rousseau Pere et Fils Chambertin Clos-de-Beze Grand Cru2016</v>
      </c>
      <c r="J21">
        <f t="shared" si="3"/>
        <v>1</v>
      </c>
    </row>
    <row r="22" spans="1:10">
      <c r="A22" t="s">
        <v>130</v>
      </c>
      <c r="B22" t="s">
        <v>131</v>
      </c>
      <c r="C22" t="s">
        <v>121</v>
      </c>
      <c r="D22" t="str">
        <f t="shared" si="0"/>
        <v>S000021Domaine Armand Rousseau Pere et Fils Chambertin Grand Cru2001</v>
      </c>
      <c r="E22">
        <f t="shared" si="1"/>
        <v>1</v>
      </c>
      <c r="F22" t="s">
        <v>130</v>
      </c>
      <c r="G22" t="s">
        <v>131</v>
      </c>
      <c r="H22" t="s">
        <v>121</v>
      </c>
      <c r="I22" t="str">
        <f t="shared" si="2"/>
        <v>S000021Domaine Armand Rousseau Pere et Fils Chambertin Grand Cru2001</v>
      </c>
      <c r="J22">
        <f t="shared" si="3"/>
        <v>1</v>
      </c>
    </row>
    <row r="23" spans="1:10">
      <c r="A23" t="s">
        <v>132</v>
      </c>
      <c r="B23" t="s">
        <v>131</v>
      </c>
      <c r="C23" t="s">
        <v>133</v>
      </c>
      <c r="D23" t="str">
        <f t="shared" si="0"/>
        <v>S000022Domaine Armand Rousseau Pere et Fils Chambertin Grand Cru2007</v>
      </c>
      <c r="E23">
        <f t="shared" si="1"/>
        <v>1</v>
      </c>
      <c r="F23" t="s">
        <v>132</v>
      </c>
      <c r="G23" t="s">
        <v>131</v>
      </c>
      <c r="H23" t="s">
        <v>133</v>
      </c>
      <c r="I23" t="str">
        <f t="shared" si="2"/>
        <v>S000022Domaine Armand Rousseau Pere et Fils Chambertin Grand Cru2007</v>
      </c>
      <c r="J23">
        <f t="shared" si="3"/>
        <v>1</v>
      </c>
    </row>
    <row r="24" spans="1:10">
      <c r="A24" t="s">
        <v>134</v>
      </c>
      <c r="B24" t="s">
        <v>131</v>
      </c>
      <c r="C24" t="s">
        <v>125</v>
      </c>
      <c r="D24" t="str">
        <f t="shared" si="0"/>
        <v>S000023Domaine Armand Rousseau Pere et Fils Chambertin Grand Cru2008</v>
      </c>
      <c r="E24">
        <f t="shared" si="1"/>
        <v>1</v>
      </c>
      <c r="F24" t="s">
        <v>134</v>
      </c>
      <c r="G24" t="s">
        <v>131</v>
      </c>
      <c r="H24" t="s">
        <v>125</v>
      </c>
      <c r="I24" t="str">
        <f t="shared" si="2"/>
        <v>S000023Domaine Armand Rousseau Pere et Fils Chambertin Grand Cru2008</v>
      </c>
      <c r="J24">
        <f t="shared" si="3"/>
        <v>1</v>
      </c>
    </row>
    <row r="25" spans="1:10">
      <c r="A25" t="s">
        <v>135</v>
      </c>
      <c r="B25" t="s">
        <v>131</v>
      </c>
      <c r="C25" t="s">
        <v>114</v>
      </c>
      <c r="D25" t="str">
        <f t="shared" si="0"/>
        <v>S000024Domaine Armand Rousseau Pere et Fils Chambertin Grand Cru2014</v>
      </c>
      <c r="E25">
        <f t="shared" si="1"/>
        <v>1</v>
      </c>
      <c r="F25" t="s">
        <v>135</v>
      </c>
      <c r="G25" t="s">
        <v>131</v>
      </c>
      <c r="H25" t="s">
        <v>114</v>
      </c>
      <c r="I25" t="str">
        <f t="shared" si="2"/>
        <v>S000024Domaine Armand Rousseau Pere et Fils Chambertin Grand Cru2014</v>
      </c>
      <c r="J25">
        <f t="shared" si="3"/>
        <v>1</v>
      </c>
    </row>
    <row r="26" spans="1:10">
      <c r="A26" t="s">
        <v>136</v>
      </c>
      <c r="B26" t="s">
        <v>131</v>
      </c>
      <c r="C26" t="s">
        <v>137</v>
      </c>
      <c r="D26" t="str">
        <f t="shared" si="0"/>
        <v>S000025Domaine Armand Rousseau Pere et Fils Chambertin Grand Cru2017</v>
      </c>
      <c r="E26">
        <f t="shared" si="1"/>
        <v>1</v>
      </c>
      <c r="F26" t="s">
        <v>136</v>
      </c>
      <c r="G26" t="s">
        <v>131</v>
      </c>
      <c r="H26" t="s">
        <v>137</v>
      </c>
      <c r="I26" t="str">
        <f t="shared" si="2"/>
        <v>S000025Domaine Armand Rousseau Pere et Fils Chambertin Grand Cru2017</v>
      </c>
      <c r="J26">
        <f t="shared" si="3"/>
        <v>1</v>
      </c>
    </row>
    <row r="27" spans="1:10">
      <c r="A27" t="s">
        <v>138</v>
      </c>
      <c r="B27" t="s">
        <v>116</v>
      </c>
      <c r="C27" t="s">
        <v>139</v>
      </c>
      <c r="D27" t="str">
        <f t="shared" si="0"/>
        <v>S000026Domaine Armand Rousseau Pere et Fils Gevrey-Chambertin 'Clos Saint-Jacques' Premier Cru2010</v>
      </c>
      <c r="E27">
        <f t="shared" si="1"/>
        <v>1</v>
      </c>
      <c r="F27" t="s">
        <v>138</v>
      </c>
      <c r="G27" t="s">
        <v>116</v>
      </c>
      <c r="H27" t="s">
        <v>139</v>
      </c>
      <c r="I27" t="str">
        <f t="shared" si="2"/>
        <v>S000026Domaine Armand Rousseau Pere et Fils Gevrey-Chambertin 'Clos Saint-Jacques' Premier Cru2010</v>
      </c>
      <c r="J27">
        <f t="shared" si="3"/>
        <v>1</v>
      </c>
    </row>
    <row r="28" spans="1:10">
      <c r="A28" t="s">
        <v>140</v>
      </c>
      <c r="B28" t="s">
        <v>141</v>
      </c>
      <c r="C28" t="s">
        <v>118</v>
      </c>
      <c r="D28" t="str">
        <f t="shared" si="0"/>
        <v>S000027Armand Vincenot Clos de la Roche Gand Cru2018</v>
      </c>
      <c r="E28">
        <f t="shared" si="1"/>
        <v>1</v>
      </c>
      <c r="F28" t="s">
        <v>140</v>
      </c>
      <c r="G28" t="s">
        <v>141</v>
      </c>
      <c r="H28" t="s">
        <v>118</v>
      </c>
      <c r="I28" t="str">
        <f t="shared" si="2"/>
        <v>S000027Armand Vincenot Clos de la Roche Gand Cru2018</v>
      </c>
      <c r="J28">
        <f t="shared" si="3"/>
        <v>1</v>
      </c>
    </row>
    <row r="29" spans="1:10">
      <c r="A29" t="s">
        <v>142</v>
      </c>
      <c r="B29" t="s">
        <v>143</v>
      </c>
      <c r="C29" t="s">
        <v>144</v>
      </c>
      <c r="D29" t="str">
        <f t="shared" si="0"/>
        <v>S000028Arnaud Moreau 'Cuvee Arrakis' Brut Zero Grand CruNV</v>
      </c>
      <c r="E29">
        <f t="shared" si="1"/>
        <v>1</v>
      </c>
      <c r="F29" t="s">
        <v>142</v>
      </c>
      <c r="G29" t="s">
        <v>143</v>
      </c>
      <c r="H29" t="s">
        <v>144</v>
      </c>
      <c r="I29" t="str">
        <f t="shared" si="2"/>
        <v>S000028Arnaud Moreau 'Cuvee Arrakis' Brut Zero Grand CruNV</v>
      </c>
      <c r="J29">
        <f t="shared" si="3"/>
        <v>1</v>
      </c>
    </row>
    <row r="30" spans="1:10">
      <c r="A30" t="s">
        <v>145</v>
      </c>
      <c r="B30" t="s">
        <v>146</v>
      </c>
      <c r="C30" t="s">
        <v>129</v>
      </c>
      <c r="D30" t="str">
        <f t="shared" si="0"/>
        <v>S000029Arnaud Moreau 'Cuvee Erynn' Blanc de Blanc Grand Cru2016</v>
      </c>
      <c r="E30">
        <f t="shared" si="1"/>
        <v>1</v>
      </c>
      <c r="F30" t="s">
        <v>145</v>
      </c>
      <c r="G30" t="s">
        <v>146</v>
      </c>
      <c r="H30" t="s">
        <v>129</v>
      </c>
      <c r="I30" t="str">
        <f t="shared" si="2"/>
        <v>S000029Arnaud Moreau 'Cuvee Erynn' Blanc de Blanc Grand Cru2016</v>
      </c>
      <c r="J30">
        <f t="shared" si="3"/>
        <v>1</v>
      </c>
    </row>
    <row r="31" spans="1:10">
      <c r="A31" t="s">
        <v>147</v>
      </c>
      <c r="B31" t="s">
        <v>148</v>
      </c>
      <c r="C31" t="s">
        <v>133</v>
      </c>
      <c r="D31" t="str">
        <f t="shared" si="0"/>
        <v>S000030Arnaud Moreau 'Cuvee Odyssee' Brut Zero Grand Cru2007</v>
      </c>
      <c r="E31">
        <f t="shared" si="1"/>
        <v>1</v>
      </c>
      <c r="F31" t="s">
        <v>147</v>
      </c>
      <c r="G31" t="s">
        <v>148</v>
      </c>
      <c r="H31" t="s">
        <v>133</v>
      </c>
      <c r="I31" t="str">
        <f t="shared" si="2"/>
        <v>S000030Arnaud Moreau 'Cuvee Odyssee' Brut Zero Grand Cru2007</v>
      </c>
      <c r="J31">
        <f t="shared" si="3"/>
        <v>1</v>
      </c>
    </row>
    <row r="32" spans="1:10">
      <c r="A32" t="s">
        <v>149</v>
      </c>
      <c r="B32" t="s">
        <v>150</v>
      </c>
      <c r="C32" t="s">
        <v>81</v>
      </c>
      <c r="D32" t="str">
        <f t="shared" si="0"/>
        <v>S000031Arnaud Moreau 'Cuvee Phoenix' Blanc de Noirs Extra Brut Grand Cru2019</v>
      </c>
      <c r="E32">
        <f t="shared" si="1"/>
        <v>1</v>
      </c>
      <c r="F32" t="s">
        <v>149</v>
      </c>
      <c r="G32" t="s">
        <v>150</v>
      </c>
      <c r="H32" t="s">
        <v>81</v>
      </c>
      <c r="I32" t="str">
        <f t="shared" si="2"/>
        <v>S000031Arnaud Moreau 'Cuvee Phoenix' Blanc de Noirs Extra Brut Grand Cru2019</v>
      </c>
      <c r="J32">
        <f t="shared" si="3"/>
        <v>1</v>
      </c>
    </row>
    <row r="33" spans="1:10">
      <c r="A33" t="s">
        <v>151</v>
      </c>
      <c r="B33" t="s">
        <v>152</v>
      </c>
      <c r="C33" t="s">
        <v>144</v>
      </c>
      <c r="D33" t="str">
        <f t="shared" si="0"/>
        <v>S000032Arnaud Moreau 'Cuvee Reserve' Grand CruNV</v>
      </c>
      <c r="E33">
        <f t="shared" si="1"/>
        <v>1</v>
      </c>
      <c r="F33" t="s">
        <v>151</v>
      </c>
      <c r="G33" t="s">
        <v>152</v>
      </c>
      <c r="H33" t="s">
        <v>144</v>
      </c>
      <c r="I33" t="str">
        <f t="shared" si="2"/>
        <v>S000032Arnaud Moreau 'Cuvee Reserve' Grand CruNV</v>
      </c>
      <c r="J33">
        <f t="shared" si="3"/>
        <v>1</v>
      </c>
    </row>
    <row r="34" spans="1:10">
      <c r="A34" t="s">
        <v>153</v>
      </c>
      <c r="B34" t="s">
        <v>154</v>
      </c>
      <c r="C34" t="s">
        <v>56</v>
      </c>
      <c r="D34" t="str">
        <f t="shared" si="0"/>
        <v>S000033Aurelien Verdet Bourgogne Hautes Cotes de Nuits 'Le Prieure'2021</v>
      </c>
      <c r="E34">
        <f t="shared" si="1"/>
        <v>1</v>
      </c>
      <c r="F34" t="s">
        <v>153</v>
      </c>
      <c r="G34" t="s">
        <v>154</v>
      </c>
      <c r="H34" t="s">
        <v>56</v>
      </c>
      <c r="I34" t="str">
        <f t="shared" si="2"/>
        <v>S000033Aurelien Verdet Bourgogne Hautes Cotes de Nuits 'Le Prieure'2021</v>
      </c>
      <c r="J34">
        <f t="shared" si="3"/>
        <v>1</v>
      </c>
    </row>
    <row r="35" spans="1:10">
      <c r="A35" t="s">
        <v>155</v>
      </c>
      <c r="B35" t="s">
        <v>154</v>
      </c>
      <c r="C35" t="s">
        <v>30</v>
      </c>
      <c r="D35" t="str">
        <f t="shared" si="0"/>
        <v>S000034Aurelien Verdet Bourgogne Hautes Cotes de Nuits 'Le Prieure'2022</v>
      </c>
      <c r="E35">
        <f t="shared" si="1"/>
        <v>1</v>
      </c>
      <c r="F35" t="s">
        <v>155</v>
      </c>
      <c r="G35" t="s">
        <v>154</v>
      </c>
      <c r="H35" t="s">
        <v>30</v>
      </c>
      <c r="I35" t="str">
        <f t="shared" si="2"/>
        <v>S000034Aurelien Verdet Bourgogne Hautes Cotes de Nuits 'Le Prieure'2022</v>
      </c>
      <c r="J35">
        <f t="shared" si="3"/>
        <v>1</v>
      </c>
    </row>
    <row r="36" spans="1:10">
      <c r="A36" t="s">
        <v>156</v>
      </c>
      <c r="B36" t="s">
        <v>157</v>
      </c>
      <c r="C36" t="s">
        <v>56</v>
      </c>
      <c r="D36" t="str">
        <f t="shared" si="0"/>
        <v>S000035Aurelien Verdet Chambolle-Musigny2021</v>
      </c>
      <c r="E36">
        <f t="shared" si="1"/>
        <v>1</v>
      </c>
      <c r="F36" t="s">
        <v>156</v>
      </c>
      <c r="G36" t="s">
        <v>157</v>
      </c>
      <c r="H36" t="s">
        <v>56</v>
      </c>
      <c r="I36" t="str">
        <f t="shared" si="2"/>
        <v>S000035Aurelien Verdet Chambolle-Musigny2021</v>
      </c>
      <c r="J36">
        <f t="shared" si="3"/>
        <v>1</v>
      </c>
    </row>
    <row r="37" spans="1:10">
      <c r="A37" t="s">
        <v>158</v>
      </c>
      <c r="B37" t="s">
        <v>159</v>
      </c>
      <c r="C37" t="s">
        <v>56</v>
      </c>
      <c r="D37" t="str">
        <f t="shared" si="0"/>
        <v>S000036Aurelien Verdet Gevrey-Chambertin2021</v>
      </c>
      <c r="E37">
        <f t="shared" si="1"/>
        <v>1</v>
      </c>
      <c r="F37" t="s">
        <v>158</v>
      </c>
      <c r="G37" t="s">
        <v>159</v>
      </c>
      <c r="H37" t="s">
        <v>56</v>
      </c>
      <c r="I37" t="str">
        <f t="shared" si="2"/>
        <v>S000036Aurelien Verdet Gevrey-Chambertin2021</v>
      </c>
      <c r="J37">
        <f t="shared" si="3"/>
        <v>1</v>
      </c>
    </row>
    <row r="38" spans="1:10">
      <c r="A38" t="s">
        <v>160</v>
      </c>
      <c r="B38" t="s">
        <v>161</v>
      </c>
      <c r="C38" t="s">
        <v>30</v>
      </c>
      <c r="D38" t="str">
        <f t="shared" si="0"/>
        <v>S000037Aurelien Verdet Marsannay 'Champs Perdrix'2022</v>
      </c>
      <c r="E38">
        <f t="shared" si="1"/>
        <v>1</v>
      </c>
      <c r="F38" t="s">
        <v>160</v>
      </c>
      <c r="G38" t="s">
        <v>161</v>
      </c>
      <c r="H38" t="s">
        <v>30</v>
      </c>
      <c r="I38" t="str">
        <f t="shared" si="2"/>
        <v>S000037Aurelien Verdet Marsannay 'Champs Perdrix'2022</v>
      </c>
      <c r="J38">
        <f t="shared" si="3"/>
        <v>1</v>
      </c>
    </row>
    <row r="39" spans="1:10">
      <c r="A39" t="s">
        <v>162</v>
      </c>
      <c r="B39" t="s">
        <v>163</v>
      </c>
      <c r="C39" t="s">
        <v>30</v>
      </c>
      <c r="D39" t="str">
        <f t="shared" si="0"/>
        <v>S000038Aurelien Verdet Nuits-Saint-Georges2022</v>
      </c>
      <c r="E39">
        <f t="shared" si="1"/>
        <v>1</v>
      </c>
      <c r="F39" t="s">
        <v>162</v>
      </c>
      <c r="G39" t="s">
        <v>163</v>
      </c>
      <c r="H39" t="s">
        <v>30</v>
      </c>
      <c r="I39" t="str">
        <f t="shared" si="2"/>
        <v>S000038Aurelien Verdet Nuits-Saint-Georges2022</v>
      </c>
      <c r="J39">
        <f t="shared" si="3"/>
        <v>1</v>
      </c>
    </row>
    <row r="40" spans="1:10">
      <c r="A40" t="s">
        <v>164</v>
      </c>
      <c r="B40" t="s">
        <v>165</v>
      </c>
      <c r="C40" t="s">
        <v>30</v>
      </c>
      <c r="D40" t="str">
        <f t="shared" si="0"/>
        <v>S000039Aurelien Verdet Nuits-Saint-Georges 'Les Damodes' Premier Cru2022</v>
      </c>
      <c r="E40">
        <f t="shared" si="1"/>
        <v>1</v>
      </c>
      <c r="F40" t="s">
        <v>164</v>
      </c>
      <c r="G40" t="s">
        <v>165</v>
      </c>
      <c r="H40" t="s">
        <v>30</v>
      </c>
      <c r="I40" t="str">
        <f t="shared" si="2"/>
        <v>S000039Aurelien Verdet Nuits-Saint-Georges 'Les Damodes' Premier Cru2022</v>
      </c>
      <c r="J40">
        <f t="shared" si="3"/>
        <v>1</v>
      </c>
    </row>
    <row r="41" spans="1:10">
      <c r="A41" t="s">
        <v>166</v>
      </c>
      <c r="B41" t="s">
        <v>167</v>
      </c>
      <c r="C41" t="s">
        <v>30</v>
      </c>
      <c r="D41" t="str">
        <f t="shared" si="0"/>
        <v>S000040Aurelien Verdet Vosne-Romanée Vieilles Vignes2022</v>
      </c>
      <c r="E41">
        <f t="shared" si="1"/>
        <v>1</v>
      </c>
      <c r="F41" t="s">
        <v>166</v>
      </c>
      <c r="G41" t="s">
        <v>167</v>
      </c>
      <c r="H41" t="s">
        <v>30</v>
      </c>
      <c r="I41" t="str">
        <f t="shared" si="2"/>
        <v>S000040Aurelien Verdet Vosne-Romanée Vieilles Vignes2022</v>
      </c>
      <c r="J41">
        <f t="shared" si="3"/>
        <v>1</v>
      </c>
    </row>
    <row r="42" spans="1:10">
      <c r="A42" t="s">
        <v>168</v>
      </c>
      <c r="B42" t="s">
        <v>169</v>
      </c>
      <c r="C42" t="s">
        <v>111</v>
      </c>
      <c r="D42" t="str">
        <f t="shared" si="0"/>
        <v>S000041Luis Felipe Edwards 'Autoritas' Private Collection2013</v>
      </c>
      <c r="E42">
        <f t="shared" si="1"/>
        <v>1</v>
      </c>
      <c r="F42" t="s">
        <v>168</v>
      </c>
      <c r="G42" t="s">
        <v>169</v>
      </c>
      <c r="H42" t="s">
        <v>111</v>
      </c>
      <c r="I42" t="str">
        <f t="shared" si="2"/>
        <v>S000041Luis Felipe Edwards 'Autoritas' Private Collection2013</v>
      </c>
      <c r="J42">
        <f t="shared" si="3"/>
        <v>1</v>
      </c>
    </row>
    <row r="43" spans="1:10">
      <c r="A43" t="s">
        <v>170</v>
      </c>
      <c r="B43" t="s">
        <v>171</v>
      </c>
      <c r="C43" t="s">
        <v>172</v>
      </c>
      <c r="D43" t="str">
        <f t="shared" si="0"/>
        <v>S000042Domaine Ballot-Millot Meursault Rouge2012</v>
      </c>
      <c r="E43">
        <f t="shared" si="1"/>
        <v>1</v>
      </c>
      <c r="F43" t="s">
        <v>170</v>
      </c>
      <c r="G43" t="s">
        <v>171</v>
      </c>
      <c r="H43" t="s">
        <v>172</v>
      </c>
      <c r="I43" t="str">
        <f t="shared" si="2"/>
        <v>S000042Domaine Ballot-Millot Meursault Rouge2012</v>
      </c>
      <c r="J43">
        <f t="shared" si="3"/>
        <v>1</v>
      </c>
    </row>
    <row r="44" spans="1:10">
      <c r="A44" t="s">
        <v>174</v>
      </c>
      <c r="B44" t="s">
        <v>175</v>
      </c>
      <c r="C44" t="s">
        <v>81</v>
      </c>
      <c r="D44" t="str">
        <f t="shared" si="0"/>
        <v>S000043Chateau Beau-Sejour Becot Saint-Émilion Premier Grand Cru Classé2019</v>
      </c>
      <c r="E44">
        <f t="shared" si="1"/>
        <v>1</v>
      </c>
      <c r="F44" t="s">
        <v>174</v>
      </c>
      <c r="G44" t="s">
        <v>175</v>
      </c>
      <c r="H44" t="s">
        <v>81</v>
      </c>
      <c r="I44" t="str">
        <f t="shared" si="2"/>
        <v>S000043Chateau Beau-Sejour Becot Saint-Émilion Premier Grand Cru Classé2019</v>
      </c>
      <c r="J44">
        <f t="shared" si="3"/>
        <v>1</v>
      </c>
    </row>
    <row r="45" spans="1:10">
      <c r="A45" t="s">
        <v>176</v>
      </c>
      <c r="B45" t="s">
        <v>177</v>
      </c>
      <c r="C45" t="s">
        <v>178</v>
      </c>
      <c r="D45" t="str">
        <f t="shared" si="0"/>
        <v>S000044Chateau de Beaucastel Chateauneuf-du-Pape2003</v>
      </c>
      <c r="E45">
        <f t="shared" si="1"/>
        <v>1</v>
      </c>
      <c r="F45" t="s">
        <v>176</v>
      </c>
      <c r="G45" t="s">
        <v>177</v>
      </c>
      <c r="H45" t="s">
        <v>178</v>
      </c>
      <c r="I45" t="str">
        <f t="shared" si="2"/>
        <v>S000044Chateau de Beaucastel Chateauneuf-du-Pape2003</v>
      </c>
      <c r="J45">
        <f t="shared" si="3"/>
        <v>1</v>
      </c>
    </row>
    <row r="46" spans="1:10">
      <c r="A46" t="s">
        <v>179</v>
      </c>
      <c r="B46" t="s">
        <v>180</v>
      </c>
      <c r="C46" t="s">
        <v>30</v>
      </c>
      <c r="D46" t="str">
        <f t="shared" si="0"/>
        <v>S000045Domaine Armelle et Bernard Rion Bourgogne Blanc Vieilles Vigne2022</v>
      </c>
      <c r="E46">
        <f t="shared" si="1"/>
        <v>1</v>
      </c>
      <c r="F46" t="s">
        <v>179</v>
      </c>
      <c r="G46" t="s">
        <v>180</v>
      </c>
      <c r="H46" t="s">
        <v>30</v>
      </c>
      <c r="I46" t="str">
        <f t="shared" si="2"/>
        <v>S000045Domaine Armelle et Bernard Rion Bourgogne Blanc Vieilles Vigne2022</v>
      </c>
      <c r="J46">
        <f t="shared" si="3"/>
        <v>1</v>
      </c>
    </row>
    <row r="47" spans="1:10">
      <c r="A47" t="s">
        <v>183</v>
      </c>
      <c r="B47" t="s">
        <v>184</v>
      </c>
      <c r="C47" t="s">
        <v>56</v>
      </c>
      <c r="D47" t="str">
        <f t="shared" si="0"/>
        <v>S000046Domaine Armelle et Bernard Rion Bourgogne Cote d'Or2021</v>
      </c>
      <c r="E47">
        <f t="shared" si="1"/>
        <v>1</v>
      </c>
      <c r="F47" t="s">
        <v>183</v>
      </c>
      <c r="G47" t="s">
        <v>184</v>
      </c>
      <c r="H47" t="s">
        <v>56</v>
      </c>
      <c r="I47" t="str">
        <f t="shared" si="2"/>
        <v>S000046Domaine Armelle et Bernard Rion Bourgogne Cote d'Or2021</v>
      </c>
      <c r="J47">
        <f t="shared" si="3"/>
        <v>1</v>
      </c>
    </row>
    <row r="48" spans="1:10">
      <c r="A48" t="s">
        <v>185</v>
      </c>
      <c r="B48" t="s">
        <v>186</v>
      </c>
      <c r="C48" t="s">
        <v>30</v>
      </c>
      <c r="D48" t="str">
        <f t="shared" si="0"/>
        <v>S000047Domaine Armelle et Bernard Rion Bourgogne 'La Croix Blanche' Vieilles Vignes2022</v>
      </c>
      <c r="E48">
        <f t="shared" si="1"/>
        <v>1</v>
      </c>
      <c r="F48" t="s">
        <v>185</v>
      </c>
      <c r="G48" t="s">
        <v>186</v>
      </c>
      <c r="H48" t="s">
        <v>30</v>
      </c>
      <c r="I48" t="str">
        <f t="shared" si="2"/>
        <v>S000047Domaine Armelle et Bernard Rion Bourgogne 'La Croix Blanche' Vieilles Vignes2022</v>
      </c>
      <c r="J48">
        <f t="shared" si="3"/>
        <v>1</v>
      </c>
    </row>
    <row r="49" spans="1:10">
      <c r="A49" t="s">
        <v>187</v>
      </c>
      <c r="B49" t="s">
        <v>188</v>
      </c>
      <c r="C49" t="s">
        <v>30</v>
      </c>
      <c r="D49" t="str">
        <f t="shared" si="0"/>
        <v>S000048Domaine Armelle et Bernard Rion Morey-Saint-Denis 'Les Gruenchers' Premier Cru2022</v>
      </c>
      <c r="E49">
        <f t="shared" si="1"/>
        <v>1</v>
      </c>
      <c r="F49" t="s">
        <v>187</v>
      </c>
      <c r="G49" t="s">
        <v>188</v>
      </c>
      <c r="H49" t="s">
        <v>30</v>
      </c>
      <c r="I49" t="str">
        <f t="shared" si="2"/>
        <v>S000048Domaine Armelle et Bernard Rion Morey-Saint-Denis 'Les Gruenchers' Premier Cru2022</v>
      </c>
      <c r="J49">
        <f t="shared" si="3"/>
        <v>1</v>
      </c>
    </row>
    <row r="50" spans="1:10">
      <c r="A50" t="s">
        <v>189</v>
      </c>
      <c r="B50" t="s">
        <v>188</v>
      </c>
      <c r="C50" t="s">
        <v>56</v>
      </c>
      <c r="D50" t="str">
        <f t="shared" si="0"/>
        <v>S000049Domaine Armelle et Bernard Rion Morey-Saint-Denis 'Les Gruenchers' Premier Cru2021</v>
      </c>
      <c r="E50">
        <f t="shared" si="1"/>
        <v>1</v>
      </c>
      <c r="F50" t="s">
        <v>189</v>
      </c>
      <c r="G50" t="s">
        <v>188</v>
      </c>
      <c r="H50" t="s">
        <v>56</v>
      </c>
      <c r="I50" t="str">
        <f t="shared" si="2"/>
        <v>S000049Domaine Armelle et Bernard Rion Morey-Saint-Denis 'Les Gruenchers' Premier Cru2021</v>
      </c>
      <c r="J50">
        <f t="shared" si="3"/>
        <v>1</v>
      </c>
    </row>
    <row r="51" spans="1:10">
      <c r="A51" t="s">
        <v>190</v>
      </c>
      <c r="B51" t="s">
        <v>191</v>
      </c>
      <c r="C51" t="s">
        <v>118</v>
      </c>
      <c r="D51" t="str">
        <f t="shared" si="0"/>
        <v>S000050Domaine Armelle et Bernard Rion Chambolle-Musigny 'Les Echezeaux' Vieilles Vignes2018</v>
      </c>
      <c r="E51">
        <f t="shared" si="1"/>
        <v>1</v>
      </c>
      <c r="F51" t="s">
        <v>190</v>
      </c>
      <c r="G51" t="s">
        <v>191</v>
      </c>
      <c r="H51" t="s">
        <v>118</v>
      </c>
      <c r="I51" t="str">
        <f t="shared" si="2"/>
        <v>S000050Domaine Armelle et Bernard Rion Chambolle-Musigny 'Les Echezeaux' Vieilles Vignes2018</v>
      </c>
      <c r="J51">
        <f t="shared" si="3"/>
        <v>1</v>
      </c>
    </row>
    <row r="52" spans="1:10">
      <c r="A52" t="s">
        <v>192</v>
      </c>
      <c r="B52" t="s">
        <v>191</v>
      </c>
      <c r="C52" t="s">
        <v>56</v>
      </c>
      <c r="D52" t="str">
        <f t="shared" si="0"/>
        <v>S000051Domaine Armelle et Bernard Rion Chambolle-Musigny 'Les Echezeaux' Vieilles Vignes2021</v>
      </c>
      <c r="E52">
        <f t="shared" si="1"/>
        <v>1</v>
      </c>
      <c r="F52" t="s">
        <v>192</v>
      </c>
      <c r="G52" t="s">
        <v>191</v>
      </c>
      <c r="H52" t="s">
        <v>56</v>
      </c>
      <c r="I52" t="str">
        <f t="shared" si="2"/>
        <v>S000051Domaine Armelle et Bernard Rion Chambolle-Musigny 'Les Echezeaux' Vieilles Vignes2021</v>
      </c>
      <c r="J52">
        <f t="shared" si="3"/>
        <v>1</v>
      </c>
    </row>
    <row r="53" spans="1:10">
      <c r="A53" t="s">
        <v>193</v>
      </c>
      <c r="B53" t="s">
        <v>191</v>
      </c>
      <c r="C53" t="s">
        <v>30</v>
      </c>
      <c r="D53" t="str">
        <f t="shared" si="0"/>
        <v>S000052Domaine Armelle et Bernard Rion Chambolle-Musigny 'Les Echezeaux' Vieilles Vignes2022</v>
      </c>
      <c r="E53">
        <f t="shared" si="1"/>
        <v>1</v>
      </c>
      <c r="F53" t="s">
        <v>193</v>
      </c>
      <c r="G53" t="s">
        <v>191</v>
      </c>
      <c r="H53" t="s">
        <v>30</v>
      </c>
      <c r="I53" t="str">
        <f t="shared" si="2"/>
        <v>S000052Domaine Armelle et Bernard Rion Chambolle-Musigny 'Les Echezeaux' Vieilles Vignes2022</v>
      </c>
      <c r="J53">
        <f t="shared" si="3"/>
        <v>1</v>
      </c>
    </row>
    <row r="54" spans="1:10">
      <c r="A54" t="s">
        <v>194</v>
      </c>
      <c r="B54" t="s">
        <v>195</v>
      </c>
      <c r="C54" t="s">
        <v>30</v>
      </c>
      <c r="D54" t="str">
        <f t="shared" si="0"/>
        <v>S000053Domaine Armelle et Bernard Rion Chassagne-Montrachet 'En Pimont'2022</v>
      </c>
      <c r="E54">
        <f t="shared" si="1"/>
        <v>1</v>
      </c>
      <c r="F54" t="s">
        <v>194</v>
      </c>
      <c r="G54" t="s">
        <v>195</v>
      </c>
      <c r="H54" t="s">
        <v>30</v>
      </c>
      <c r="I54" t="str">
        <f t="shared" si="2"/>
        <v>S000053Domaine Armelle et Bernard Rion Chassagne-Montrachet 'En Pimont'2022</v>
      </c>
      <c r="J54">
        <f t="shared" si="3"/>
        <v>1</v>
      </c>
    </row>
    <row r="55" spans="1:10">
      <c r="A55" t="s">
        <v>196</v>
      </c>
      <c r="B55" t="s">
        <v>197</v>
      </c>
      <c r="C55" t="s">
        <v>92</v>
      </c>
      <c r="D55" t="str">
        <f t="shared" si="0"/>
        <v>S000054Domaine Armelle et Bernard Rion Chorey-les-Beaune2020</v>
      </c>
      <c r="E55">
        <f t="shared" si="1"/>
        <v>1</v>
      </c>
      <c r="F55" t="s">
        <v>196</v>
      </c>
      <c r="G55" t="s">
        <v>197</v>
      </c>
      <c r="H55" t="s">
        <v>92</v>
      </c>
      <c r="I55" t="str">
        <f t="shared" si="2"/>
        <v>S000054Domaine Armelle et Bernard Rion Chorey-les-Beaune2020</v>
      </c>
      <c r="J55">
        <f t="shared" si="3"/>
        <v>1</v>
      </c>
    </row>
    <row r="56" spans="1:10">
      <c r="A56" t="s">
        <v>198</v>
      </c>
      <c r="B56" t="s">
        <v>199</v>
      </c>
      <c r="C56" t="s">
        <v>56</v>
      </c>
      <c r="D56" t="str">
        <f t="shared" si="0"/>
        <v>S000055Domaine Armelle et Bernard Rion Marsannay 'En Sampagny'2021</v>
      </c>
      <c r="E56">
        <f t="shared" si="1"/>
        <v>1</v>
      </c>
      <c r="F56" t="s">
        <v>198</v>
      </c>
      <c r="G56" t="s">
        <v>199</v>
      </c>
      <c r="H56" t="s">
        <v>56</v>
      </c>
      <c r="I56" t="str">
        <f t="shared" si="2"/>
        <v>S000055Domaine Armelle et Bernard Rion Marsannay 'En Sampagny'2021</v>
      </c>
      <c r="J56">
        <f t="shared" si="3"/>
        <v>1</v>
      </c>
    </row>
    <row r="57" spans="1:10">
      <c r="A57" t="s">
        <v>200</v>
      </c>
      <c r="B57" t="s">
        <v>201</v>
      </c>
      <c r="C57" t="s">
        <v>56</v>
      </c>
      <c r="D57" t="str">
        <f t="shared" si="0"/>
        <v>S000056Domaine Armelle et Bernard Rion Nuits-Saint-Georges 'Dame Marguerite' Vieilles Vignes2021</v>
      </c>
      <c r="E57">
        <f t="shared" si="1"/>
        <v>1</v>
      </c>
      <c r="F57" t="s">
        <v>200</v>
      </c>
      <c r="G57" t="s">
        <v>201</v>
      </c>
      <c r="H57" t="s">
        <v>56</v>
      </c>
      <c r="I57" t="str">
        <f t="shared" si="2"/>
        <v>S000056Domaine Armelle et Bernard Rion Nuits-Saint-Georges 'Dame Marguerite' Vieilles Vignes2021</v>
      </c>
      <c r="J57">
        <f t="shared" si="3"/>
        <v>1</v>
      </c>
    </row>
    <row r="58" spans="1:10">
      <c r="A58" t="s">
        <v>202</v>
      </c>
      <c r="B58" t="s">
        <v>203</v>
      </c>
      <c r="C58" t="s">
        <v>30</v>
      </c>
      <c r="D58" t="str">
        <f t="shared" si="0"/>
        <v>S000057Domaine Armelle et Bernard Rion Savigny-lès-Beaune 'Dessus Vermot' Blanc2022</v>
      </c>
      <c r="E58">
        <f t="shared" si="1"/>
        <v>1</v>
      </c>
      <c r="F58" t="s">
        <v>202</v>
      </c>
      <c r="G58" t="s">
        <v>203</v>
      </c>
      <c r="H58" t="s">
        <v>30</v>
      </c>
      <c r="I58" t="str">
        <f t="shared" si="2"/>
        <v>S000057Domaine Armelle et Bernard Rion Savigny-lès-Beaune 'Dessus Vermot' Blanc2022</v>
      </c>
      <c r="J58">
        <f t="shared" si="3"/>
        <v>1</v>
      </c>
    </row>
    <row r="59" spans="1:10">
      <c r="A59" t="s">
        <v>204</v>
      </c>
      <c r="B59" t="s">
        <v>205</v>
      </c>
      <c r="C59" t="s">
        <v>56</v>
      </c>
      <c r="D59" t="str">
        <f t="shared" si="0"/>
        <v>S000058Domaine Armelle et Bernard Rion Volnay Vieilles Vignes2021</v>
      </c>
      <c r="E59">
        <f t="shared" si="1"/>
        <v>1</v>
      </c>
      <c r="F59" t="s">
        <v>204</v>
      </c>
      <c r="G59" t="s">
        <v>205</v>
      </c>
      <c r="H59" t="s">
        <v>56</v>
      </c>
      <c r="I59" t="str">
        <f t="shared" si="2"/>
        <v>S000058Domaine Armelle et Bernard Rion Volnay Vieilles Vignes2021</v>
      </c>
      <c r="J59">
        <f t="shared" si="3"/>
        <v>1</v>
      </c>
    </row>
    <row r="60" spans="1:10">
      <c r="A60" t="s">
        <v>206</v>
      </c>
      <c r="B60" t="s">
        <v>207</v>
      </c>
      <c r="C60" t="s">
        <v>56</v>
      </c>
      <c r="D60" t="str">
        <f t="shared" si="0"/>
        <v>S000059Domaine Armelle et Bernard Rion Vosne-Romanée 'Les Chaumes' Vieilles Vignes2021</v>
      </c>
      <c r="E60">
        <f t="shared" si="1"/>
        <v>1</v>
      </c>
      <c r="F60" t="s">
        <v>206</v>
      </c>
      <c r="G60" t="s">
        <v>207</v>
      </c>
      <c r="H60" t="s">
        <v>56</v>
      </c>
      <c r="I60" t="str">
        <f t="shared" si="2"/>
        <v>S000059Domaine Armelle et Bernard Rion Vosne-Romanée 'Les Chaumes' Vieilles Vignes2021</v>
      </c>
      <c r="J60">
        <f t="shared" si="3"/>
        <v>1</v>
      </c>
    </row>
    <row r="61" spans="1:10">
      <c r="A61" t="s">
        <v>208</v>
      </c>
      <c r="B61" t="s">
        <v>207</v>
      </c>
      <c r="C61" t="s">
        <v>30</v>
      </c>
      <c r="D61" t="str">
        <f t="shared" si="0"/>
        <v>S000060Domaine Armelle et Bernard Rion Vosne-Romanée 'Les Chaumes' Vieilles Vignes2022</v>
      </c>
      <c r="E61">
        <f t="shared" si="1"/>
        <v>1</v>
      </c>
      <c r="F61" t="s">
        <v>208</v>
      </c>
      <c r="G61" t="s">
        <v>207</v>
      </c>
      <c r="H61" t="s">
        <v>30</v>
      </c>
      <c r="I61" t="str">
        <f t="shared" si="2"/>
        <v>S000060Domaine Armelle et Bernard Rion Vosne-Romanée 'Les Chaumes' Vieilles Vignes2022</v>
      </c>
      <c r="J61">
        <f t="shared" si="3"/>
        <v>1</v>
      </c>
    </row>
    <row r="62" spans="1:10">
      <c r="A62" t="s">
        <v>209</v>
      </c>
      <c r="B62" t="s">
        <v>210</v>
      </c>
      <c r="C62" t="s">
        <v>30</v>
      </c>
      <c r="D62" t="str">
        <f t="shared" si="0"/>
        <v>S000061Domaine Armelle et Bernard Rion Vosne-Romanée 'Dame Juliette' Vieilles Vignes2022</v>
      </c>
      <c r="E62">
        <f t="shared" si="1"/>
        <v>1</v>
      </c>
      <c r="F62" t="s">
        <v>209</v>
      </c>
      <c r="G62" t="s">
        <v>210</v>
      </c>
      <c r="H62" t="s">
        <v>30</v>
      </c>
      <c r="I62" t="str">
        <f t="shared" si="2"/>
        <v>S000061Domaine Armelle et Bernard Rion Vosne-Romanée 'Dame Juliette' Vieilles Vignes2022</v>
      </c>
      <c r="J62">
        <f t="shared" si="3"/>
        <v>1</v>
      </c>
    </row>
    <row r="63" spans="1:10">
      <c r="A63" t="s">
        <v>211</v>
      </c>
      <c r="B63" t="s">
        <v>212</v>
      </c>
      <c r="C63" t="s">
        <v>56</v>
      </c>
      <c r="D63" t="str">
        <f t="shared" si="0"/>
        <v>S000062Domaine Berthaut-Gerbet Cote de Nuits-Villages2021</v>
      </c>
      <c r="E63">
        <f t="shared" si="1"/>
        <v>1</v>
      </c>
      <c r="F63" t="s">
        <v>211</v>
      </c>
      <c r="G63" t="s">
        <v>212</v>
      </c>
      <c r="H63" t="s">
        <v>56</v>
      </c>
      <c r="I63" t="str">
        <f t="shared" si="2"/>
        <v>S000062Domaine Berthaut-Gerbet Cote de Nuits-Villages2021</v>
      </c>
      <c r="J63">
        <f t="shared" si="3"/>
        <v>1</v>
      </c>
    </row>
    <row r="64" spans="1:10">
      <c r="A64" t="s">
        <v>213</v>
      </c>
      <c r="B64" t="s">
        <v>214</v>
      </c>
      <c r="C64" t="s">
        <v>92</v>
      </c>
      <c r="D64" t="str">
        <f t="shared" si="0"/>
        <v>S000063Domaine Berthaut-Gerbet Vosne-Romanée2020</v>
      </c>
      <c r="E64">
        <f t="shared" si="1"/>
        <v>1</v>
      </c>
      <c r="F64" t="s">
        <v>213</v>
      </c>
      <c r="G64" t="s">
        <v>214</v>
      </c>
      <c r="H64" t="s">
        <v>92</v>
      </c>
      <c r="I64" t="str">
        <f t="shared" si="2"/>
        <v>S000063Domaine Berthaut-Gerbet Vosne-Romanée2020</v>
      </c>
      <c r="J64">
        <f t="shared" si="3"/>
        <v>1</v>
      </c>
    </row>
    <row r="65" spans="1:10">
      <c r="A65" t="s">
        <v>215</v>
      </c>
      <c r="B65" t="s">
        <v>216</v>
      </c>
      <c r="C65" t="s">
        <v>137</v>
      </c>
      <c r="D65" t="str">
        <f t="shared" si="0"/>
        <v>S000064Big Sky Gruner Veltliner2017</v>
      </c>
      <c r="E65">
        <f t="shared" si="1"/>
        <v>1</v>
      </c>
      <c r="F65" t="s">
        <v>215</v>
      </c>
      <c r="G65" t="s">
        <v>216</v>
      </c>
      <c r="H65" t="s">
        <v>137</v>
      </c>
      <c r="I65" t="str">
        <f t="shared" si="2"/>
        <v>S000064Big Sky Gruner Veltliner2017</v>
      </c>
      <c r="J65">
        <f t="shared" si="3"/>
        <v>1</v>
      </c>
    </row>
    <row r="66" spans="1:10">
      <c r="A66" t="s">
        <v>218</v>
      </c>
      <c r="B66" t="s">
        <v>219</v>
      </c>
      <c r="C66" t="s">
        <v>114</v>
      </c>
      <c r="D66" t="str">
        <f t="shared" si="0"/>
        <v>S000065Big Sky 'Provenance' Pinot Noir2014</v>
      </c>
      <c r="E66">
        <f t="shared" si="1"/>
        <v>1</v>
      </c>
      <c r="F66" t="s">
        <v>218</v>
      </c>
      <c r="G66" t="s">
        <v>219</v>
      </c>
      <c r="H66" t="s">
        <v>114</v>
      </c>
      <c r="I66" t="str">
        <f t="shared" si="2"/>
        <v>S000065Big Sky 'Provenance' Pinot Noir2014</v>
      </c>
      <c r="J66">
        <f t="shared" si="3"/>
        <v>1</v>
      </c>
    </row>
    <row r="67" spans="1:10">
      <c r="A67" t="s">
        <v>220</v>
      </c>
      <c r="B67" t="s">
        <v>221</v>
      </c>
      <c r="C67" t="s">
        <v>222</v>
      </c>
      <c r="D67" t="str">
        <f t="shared" ref="D67:D130" si="4">A67&amp;B67&amp;C67</f>
        <v>S000066Big Sky 'Te Muna Road' Pinot Noir2015</v>
      </c>
      <c r="E67">
        <f t="shared" ref="E67:E130" si="5">IF(A67=F67,1,0)</f>
        <v>1</v>
      </c>
      <c r="F67" t="s">
        <v>220</v>
      </c>
      <c r="G67" t="s">
        <v>221</v>
      </c>
      <c r="H67" t="s">
        <v>222</v>
      </c>
      <c r="I67" t="str">
        <f t="shared" ref="I67:I80" si="6">F67&amp;G67&amp;H67</f>
        <v>S000066Big Sky 'Te Muna Road' Pinot Noir2015</v>
      </c>
      <c r="J67">
        <f t="shared" ref="J67:J130" si="7">IF(D67=I67,1,0)</f>
        <v>1</v>
      </c>
    </row>
    <row r="68" spans="1:10">
      <c r="A68" t="s">
        <v>223</v>
      </c>
      <c r="B68" t="s">
        <v>224</v>
      </c>
      <c r="C68" t="s">
        <v>92</v>
      </c>
      <c r="D68" t="str">
        <f t="shared" si="4"/>
        <v>S000067BiNaume La Plante d'a Cote2020</v>
      </c>
      <c r="E68">
        <f t="shared" si="5"/>
        <v>1</v>
      </c>
      <c r="F68" t="s">
        <v>223</v>
      </c>
      <c r="G68" t="s">
        <v>224</v>
      </c>
      <c r="H68" t="s">
        <v>92</v>
      </c>
      <c r="I68" t="str">
        <f t="shared" si="6"/>
        <v>S000067BiNaume La Plante d'a Cote2020</v>
      </c>
      <c r="J68">
        <f t="shared" si="7"/>
        <v>1</v>
      </c>
    </row>
    <row r="69" spans="1:10">
      <c r="A69" t="s">
        <v>225</v>
      </c>
      <c r="B69" t="s">
        <v>226</v>
      </c>
      <c r="C69" t="s">
        <v>56</v>
      </c>
      <c r="D69" t="str">
        <f t="shared" si="4"/>
        <v>S000068Domaine Boigey Freres Bourgogne Rouge2021</v>
      </c>
      <c r="E69">
        <f t="shared" si="5"/>
        <v>1</v>
      </c>
      <c r="F69" t="s">
        <v>225</v>
      </c>
      <c r="G69" t="s">
        <v>226</v>
      </c>
      <c r="H69" t="s">
        <v>56</v>
      </c>
      <c r="I69" t="str">
        <f t="shared" si="6"/>
        <v>S000068Domaine Boigey Freres Bourgogne Rouge2021</v>
      </c>
      <c r="J69">
        <f t="shared" si="7"/>
        <v>1</v>
      </c>
    </row>
    <row r="70" spans="1:10">
      <c r="A70" t="s">
        <v>227</v>
      </c>
      <c r="B70" t="s">
        <v>228</v>
      </c>
      <c r="C70" t="s">
        <v>30</v>
      </c>
      <c r="D70" t="str">
        <f t="shared" si="4"/>
        <v>S000069Domaine Boigey Freres Nuits-Saint-Georges 'Les Damodes' Premier Cru2022</v>
      </c>
      <c r="E70">
        <f t="shared" si="5"/>
        <v>1</v>
      </c>
      <c r="F70" t="s">
        <v>227</v>
      </c>
      <c r="G70" t="s">
        <v>228</v>
      </c>
      <c r="H70" t="s">
        <v>30</v>
      </c>
      <c r="I70" t="str">
        <f t="shared" si="6"/>
        <v>S000069Domaine Boigey Freres Nuits-Saint-Georges 'Les Damodes' Premier Cru2022</v>
      </c>
      <c r="J70">
        <f t="shared" si="7"/>
        <v>1</v>
      </c>
    </row>
    <row r="71" spans="1:10">
      <c r="A71" t="s">
        <v>229</v>
      </c>
      <c r="B71" t="s">
        <v>230</v>
      </c>
      <c r="C71" t="s">
        <v>56</v>
      </c>
      <c r="D71" t="str">
        <f t="shared" si="4"/>
        <v>S000070Domaine Boursot Pere &amp; Fils Chambolle-Musigny 'Les Fuees' Premier Cru2021</v>
      </c>
      <c r="E71">
        <f t="shared" si="5"/>
        <v>1</v>
      </c>
      <c r="F71" t="s">
        <v>229</v>
      </c>
      <c r="G71" t="s">
        <v>230</v>
      </c>
      <c r="H71" t="s">
        <v>56</v>
      </c>
      <c r="I71" t="str">
        <f t="shared" si="6"/>
        <v>S000070Domaine Boursot Pere &amp; Fils Chambolle-Musigny 'Les Fuees' Premier Cru2021</v>
      </c>
      <c r="J71">
        <f t="shared" si="7"/>
        <v>1</v>
      </c>
    </row>
    <row r="72" spans="1:10">
      <c r="A72" t="s">
        <v>231</v>
      </c>
      <c r="B72" t="s">
        <v>232</v>
      </c>
      <c r="C72" t="s">
        <v>56</v>
      </c>
      <c r="D72" t="str">
        <f t="shared" si="4"/>
        <v>S000071Domaine Boursot Pere &amp; Fils Chambolle-Musigny 'Les Nazoires'2021</v>
      </c>
      <c r="E72">
        <f t="shared" si="5"/>
        <v>1</v>
      </c>
      <c r="F72" t="s">
        <v>231</v>
      </c>
      <c r="G72" t="s">
        <v>232</v>
      </c>
      <c r="H72" t="s">
        <v>56</v>
      </c>
      <c r="I72" t="str">
        <f t="shared" si="6"/>
        <v>S000071Domaine Boursot Pere &amp; Fils Chambolle-Musigny 'Les Nazoires'2021</v>
      </c>
      <c r="J72">
        <f t="shared" si="7"/>
        <v>1</v>
      </c>
    </row>
    <row r="73" spans="1:10">
      <c r="A73" t="s">
        <v>233</v>
      </c>
      <c r="B73" t="s">
        <v>234</v>
      </c>
      <c r="C73" t="s">
        <v>137</v>
      </c>
      <c r="D73" t="str">
        <f t="shared" si="4"/>
        <v>S000072Domaine Bruno Clair Aloxe-Corton2017</v>
      </c>
      <c r="E73">
        <f t="shared" si="5"/>
        <v>1</v>
      </c>
      <c r="F73" t="s">
        <v>233</v>
      </c>
      <c r="G73" t="s">
        <v>234</v>
      </c>
      <c r="H73" t="s">
        <v>137</v>
      </c>
      <c r="I73" t="str">
        <f t="shared" si="6"/>
        <v>S000072Domaine Bruno Clair Aloxe-Corton2017</v>
      </c>
      <c r="J73">
        <f t="shared" si="7"/>
        <v>1</v>
      </c>
    </row>
    <row r="74" spans="1:10">
      <c r="A74" t="s">
        <v>235</v>
      </c>
      <c r="B74" t="s">
        <v>236</v>
      </c>
      <c r="C74" t="s">
        <v>133</v>
      </c>
      <c r="D74" t="str">
        <f t="shared" si="4"/>
        <v>S000073Domaine Bruno Clair Chambertin-Clos-de-Beze Grand Cru2007</v>
      </c>
      <c r="E74">
        <f t="shared" si="5"/>
        <v>1</v>
      </c>
      <c r="F74" t="s">
        <v>235</v>
      </c>
      <c r="G74" t="s">
        <v>236</v>
      </c>
      <c r="H74" t="s">
        <v>133</v>
      </c>
      <c r="I74" t="str">
        <f t="shared" si="6"/>
        <v>S000073Domaine Bruno Clair Chambertin-Clos-de-Beze Grand Cru2007</v>
      </c>
      <c r="J74">
        <f t="shared" si="7"/>
        <v>1</v>
      </c>
    </row>
    <row r="75" spans="1:10">
      <c r="A75" t="s">
        <v>237</v>
      </c>
      <c r="B75" t="s">
        <v>238</v>
      </c>
      <c r="C75" t="s">
        <v>239</v>
      </c>
      <c r="D75" t="str">
        <f t="shared" si="4"/>
        <v>S000074Domaine Bruno Clair Vosne-Romanée 'Les Champs Perdrix'2011</v>
      </c>
      <c r="E75">
        <f t="shared" si="5"/>
        <v>1</v>
      </c>
      <c r="F75" t="s">
        <v>237</v>
      </c>
      <c r="G75" t="s">
        <v>238</v>
      </c>
      <c r="H75" t="s">
        <v>239</v>
      </c>
      <c r="I75" t="str">
        <f t="shared" si="6"/>
        <v>S000074Domaine Bruno Clair Vosne-Romanée 'Les Champs Perdrix'2011</v>
      </c>
      <c r="J75">
        <f t="shared" si="7"/>
        <v>1</v>
      </c>
    </row>
    <row r="76" spans="1:10">
      <c r="A76" t="s">
        <v>240</v>
      </c>
      <c r="B76" t="s">
        <v>241</v>
      </c>
      <c r="C76" t="s">
        <v>114</v>
      </c>
      <c r="D76" t="str">
        <f t="shared" si="4"/>
        <v>S000075Domaine Bruno Clavelier Vosne-Romanée 'Les Beaux Monts' Vieilles Vignes Premier Cru2014</v>
      </c>
      <c r="E76">
        <f t="shared" si="5"/>
        <v>1</v>
      </c>
      <c r="F76" t="s">
        <v>240</v>
      </c>
      <c r="G76" t="s">
        <v>241</v>
      </c>
      <c r="H76" t="s">
        <v>114</v>
      </c>
      <c r="I76" t="str">
        <f t="shared" si="6"/>
        <v>S000075Domaine Bruno Clavelier Vosne-Romanée 'Les Beaux Monts' Vieilles Vignes Premier Cru2014</v>
      </c>
      <c r="J76">
        <f t="shared" si="7"/>
        <v>1</v>
      </c>
    </row>
    <row r="77" spans="1:10">
      <c r="A77" t="s">
        <v>242</v>
      </c>
      <c r="B77" t="s">
        <v>243</v>
      </c>
      <c r="C77" t="s">
        <v>244</v>
      </c>
      <c r="D77" t="str">
        <f t="shared" si="4"/>
        <v>S000076Bruno Giacosa 'Collina Rionda' Barolo DOCG1993</v>
      </c>
      <c r="E77">
        <f t="shared" si="5"/>
        <v>1</v>
      </c>
      <c r="F77" t="s">
        <v>242</v>
      </c>
      <c r="G77" t="s">
        <v>243</v>
      </c>
      <c r="H77" t="s">
        <v>244</v>
      </c>
      <c r="I77" t="str">
        <f t="shared" si="6"/>
        <v>S000076Bruno Giacosa 'Collina Rionda' Barolo DOCG1993</v>
      </c>
      <c r="J77">
        <f t="shared" si="7"/>
        <v>1</v>
      </c>
    </row>
    <row r="78" spans="1:10">
      <c r="A78" t="s">
        <v>245</v>
      </c>
      <c r="B78" t="s">
        <v>246</v>
      </c>
      <c r="C78" t="s">
        <v>129</v>
      </c>
      <c r="D78" t="str">
        <f t="shared" si="4"/>
        <v>S000077Château Faugères 'Calice de Faugères'2016</v>
      </c>
      <c r="E78">
        <f t="shared" si="5"/>
        <v>1</v>
      </c>
      <c r="F78" t="s">
        <v>245</v>
      </c>
      <c r="G78" t="s">
        <v>246</v>
      </c>
      <c r="H78" t="s">
        <v>129</v>
      </c>
      <c r="I78" t="str">
        <f t="shared" si="6"/>
        <v>S000077Château Faugères 'Calice de Faugères'2016</v>
      </c>
      <c r="J78">
        <f t="shared" si="7"/>
        <v>1</v>
      </c>
    </row>
    <row r="79" spans="1:10">
      <c r="A79" t="s">
        <v>247</v>
      </c>
      <c r="B79" t="s">
        <v>246</v>
      </c>
      <c r="C79" t="s">
        <v>137</v>
      </c>
      <c r="D79" t="str">
        <f t="shared" si="4"/>
        <v>S000078Château Faugères 'Calice de Faugères'2017</v>
      </c>
      <c r="E79">
        <f t="shared" si="5"/>
        <v>1</v>
      </c>
      <c r="F79" t="s">
        <v>247</v>
      </c>
      <c r="G79" t="s">
        <v>246</v>
      </c>
      <c r="H79" t="s">
        <v>137</v>
      </c>
      <c r="I79" t="str">
        <f t="shared" si="6"/>
        <v>S000078Château Faugères 'Calice de Faugères'2017</v>
      </c>
      <c r="J79">
        <f t="shared" si="7"/>
        <v>1</v>
      </c>
    </row>
    <row r="80" spans="1:10">
      <c r="A80" t="s">
        <v>248</v>
      </c>
      <c r="B80" t="s">
        <v>249</v>
      </c>
      <c r="C80" t="s">
        <v>139</v>
      </c>
      <c r="D80" t="str">
        <f t="shared" si="4"/>
        <v>S000079Domaine Camille Giroud Chambertin Grand Cru2010</v>
      </c>
      <c r="E80">
        <f t="shared" si="5"/>
        <v>1</v>
      </c>
      <c r="F80" t="s">
        <v>248</v>
      </c>
      <c r="G80" t="s">
        <v>249</v>
      </c>
      <c r="H80" t="s">
        <v>139</v>
      </c>
      <c r="I80" t="str">
        <f t="shared" si="6"/>
        <v>S000079Domaine Camille Giroud Chambertin Grand Cru2010</v>
      </c>
      <c r="J80">
        <f t="shared" si="7"/>
        <v>1</v>
      </c>
    </row>
    <row r="81" spans="1:12">
      <c r="A81" t="s">
        <v>250</v>
      </c>
      <c r="B81" t="s">
        <v>251</v>
      </c>
      <c r="C81" t="s">
        <v>56</v>
      </c>
      <c r="D81" t="str">
        <f t="shared" si="4"/>
        <v>S000082Domaine Caroline Morey Chassagne-Montrachet Rouge2021</v>
      </c>
      <c r="E81">
        <f t="shared" si="5"/>
        <v>1</v>
      </c>
      <c r="F81" t="s">
        <v>250</v>
      </c>
      <c r="G81" t="s">
        <v>251</v>
      </c>
      <c r="H81" t="s">
        <v>56</v>
      </c>
      <c r="I81" t="str">
        <f t="shared" ref="I81:I128" si="8">F81&amp;G81&amp;H81</f>
        <v>S000082Domaine Caroline Morey Chassagne-Montrachet Rouge2021</v>
      </c>
      <c r="J81">
        <f t="shared" si="7"/>
        <v>1</v>
      </c>
      <c r="L81" t="s">
        <v>2431</v>
      </c>
    </row>
    <row r="82" spans="1:12">
      <c r="A82" t="s">
        <v>252</v>
      </c>
      <c r="B82" t="s">
        <v>253</v>
      </c>
      <c r="C82" t="s">
        <v>56</v>
      </c>
      <c r="D82" t="str">
        <f t="shared" si="4"/>
        <v>S000083Domaine Caroline Morey Criots-Batard-Montrachet Grand Cru2021</v>
      </c>
      <c r="E82">
        <f t="shared" si="5"/>
        <v>1</v>
      </c>
      <c r="F82" t="s">
        <v>252</v>
      </c>
      <c r="G82" t="s">
        <v>253</v>
      </c>
      <c r="H82" t="s">
        <v>56</v>
      </c>
      <c r="I82" t="str">
        <f t="shared" si="8"/>
        <v>S000083Domaine Caroline Morey Criots-Batard-Montrachet Grand Cru2021</v>
      </c>
      <c r="J82">
        <f t="shared" si="7"/>
        <v>1</v>
      </c>
      <c r="L82" t="s">
        <v>2432</v>
      </c>
    </row>
    <row r="83" spans="1:12">
      <c r="A83" t="s">
        <v>254</v>
      </c>
      <c r="B83" t="s">
        <v>255</v>
      </c>
      <c r="C83" t="s">
        <v>30</v>
      </c>
      <c r="D83" t="str">
        <f t="shared" si="4"/>
        <v>S000084Caroline Parent Beaune 'Les Boucherottes' Rouge Premier Cru2022</v>
      </c>
      <c r="E83">
        <f t="shared" si="5"/>
        <v>1</v>
      </c>
      <c r="F83" t="s">
        <v>254</v>
      </c>
      <c r="G83" t="s">
        <v>255</v>
      </c>
      <c r="H83" t="s">
        <v>30</v>
      </c>
      <c r="I83" t="str">
        <f t="shared" si="8"/>
        <v>S000084Caroline Parent Beaune 'Les Boucherottes' Rouge Premier Cru2022</v>
      </c>
      <c r="J83">
        <f t="shared" si="7"/>
        <v>1</v>
      </c>
    </row>
    <row r="84" spans="1:12">
      <c r="A84" t="s">
        <v>256</v>
      </c>
      <c r="B84" t="s">
        <v>257</v>
      </c>
      <c r="C84" t="s">
        <v>92</v>
      </c>
      <c r="D84" t="str">
        <f t="shared" si="4"/>
        <v>S000085Caroline Parent Chambolle-Musigny 'Les Fuees' Premier Cru2020</v>
      </c>
      <c r="E84">
        <f t="shared" si="5"/>
        <v>1</v>
      </c>
      <c r="F84" t="s">
        <v>256</v>
      </c>
      <c r="G84" t="s">
        <v>257</v>
      </c>
      <c r="H84" t="s">
        <v>92</v>
      </c>
      <c r="I84" t="str">
        <f t="shared" si="8"/>
        <v>S000085Caroline Parent Chambolle-Musigny 'Les Fuees' Premier Cru2020</v>
      </c>
      <c r="J84">
        <f t="shared" si="7"/>
        <v>1</v>
      </c>
    </row>
    <row r="85" spans="1:12">
      <c r="A85" t="s">
        <v>258</v>
      </c>
      <c r="B85" t="s">
        <v>259</v>
      </c>
      <c r="C85" t="s">
        <v>92</v>
      </c>
      <c r="D85" t="str">
        <f t="shared" si="4"/>
        <v>S000086Caroline Parent Clos-de-Vougeot Grand Cru2020</v>
      </c>
      <c r="E85">
        <f t="shared" si="5"/>
        <v>1</v>
      </c>
      <c r="F85" t="s">
        <v>258</v>
      </c>
      <c r="G85" t="s">
        <v>259</v>
      </c>
      <c r="H85" t="s">
        <v>92</v>
      </c>
      <c r="I85" t="str">
        <f t="shared" si="8"/>
        <v>S000086Caroline Parent Clos-de-Vougeot Grand Cru2020</v>
      </c>
      <c r="J85">
        <f t="shared" si="7"/>
        <v>1</v>
      </c>
    </row>
    <row r="86" spans="1:12">
      <c r="A86" t="s">
        <v>260</v>
      </c>
      <c r="B86" t="s">
        <v>261</v>
      </c>
      <c r="C86" t="s">
        <v>92</v>
      </c>
      <c r="D86" t="str">
        <f t="shared" si="4"/>
        <v>S000087Caroline Parent Gevrey-Chambertin2020</v>
      </c>
      <c r="E86">
        <f t="shared" si="5"/>
        <v>1</v>
      </c>
      <c r="F86" t="s">
        <v>260</v>
      </c>
      <c r="G86" t="s">
        <v>261</v>
      </c>
      <c r="H86" t="s">
        <v>92</v>
      </c>
      <c r="I86" t="str">
        <f t="shared" si="8"/>
        <v>S000087Caroline Parent Gevrey-Chambertin2020</v>
      </c>
      <c r="J86">
        <f t="shared" si="7"/>
        <v>1</v>
      </c>
    </row>
    <row r="87" spans="1:12">
      <c r="A87" t="s">
        <v>262</v>
      </c>
      <c r="B87" t="s">
        <v>261</v>
      </c>
      <c r="C87" t="s">
        <v>56</v>
      </c>
      <c r="D87" t="str">
        <f t="shared" si="4"/>
        <v>S000088Caroline Parent Gevrey-Chambertin2021</v>
      </c>
      <c r="E87">
        <f t="shared" si="5"/>
        <v>1</v>
      </c>
      <c r="F87" t="s">
        <v>262</v>
      </c>
      <c r="G87" t="s">
        <v>261</v>
      </c>
      <c r="H87" t="s">
        <v>56</v>
      </c>
      <c r="I87" t="str">
        <f t="shared" si="8"/>
        <v>S000088Caroline Parent Gevrey-Chambertin2021</v>
      </c>
      <c r="J87">
        <f t="shared" si="7"/>
        <v>1</v>
      </c>
    </row>
    <row r="88" spans="1:12">
      <c r="A88" t="s">
        <v>263</v>
      </c>
      <c r="B88" t="s">
        <v>264</v>
      </c>
      <c r="C88" t="s">
        <v>92</v>
      </c>
      <c r="D88" t="str">
        <f t="shared" si="4"/>
        <v>S000089Caroline Parent Bourgogne Hautes-Côtes de Nuits2020</v>
      </c>
      <c r="E88">
        <f t="shared" si="5"/>
        <v>1</v>
      </c>
      <c r="F88" t="s">
        <v>263</v>
      </c>
      <c r="G88" t="s">
        <v>264</v>
      </c>
      <c r="H88" t="s">
        <v>92</v>
      </c>
      <c r="I88" t="str">
        <f t="shared" si="8"/>
        <v>S000089Caroline Parent Bourgogne Hautes-Côtes de Nuits2020</v>
      </c>
      <c r="J88">
        <f t="shared" si="7"/>
        <v>1</v>
      </c>
    </row>
    <row r="89" spans="1:12">
      <c r="A89" t="s">
        <v>265</v>
      </c>
      <c r="B89" t="s">
        <v>266</v>
      </c>
      <c r="C89" t="s">
        <v>30</v>
      </c>
      <c r="D89" t="str">
        <f t="shared" si="4"/>
        <v>S000090Caroline Parent Bourgogne Hautes-Côtes de Nuits Blanc2022</v>
      </c>
      <c r="E89">
        <f t="shared" si="5"/>
        <v>1</v>
      </c>
      <c r="F89" t="s">
        <v>265</v>
      </c>
      <c r="G89" t="s">
        <v>266</v>
      </c>
      <c r="H89" t="s">
        <v>30</v>
      </c>
      <c r="I89" t="str">
        <f t="shared" si="8"/>
        <v>S000090Caroline Parent Bourgogne Hautes-Côtes de Nuits Blanc2022</v>
      </c>
      <c r="J89">
        <f t="shared" si="7"/>
        <v>1</v>
      </c>
    </row>
    <row r="90" spans="1:12">
      <c r="A90" t="s">
        <v>267</v>
      </c>
      <c r="B90" t="s">
        <v>268</v>
      </c>
      <c r="C90" t="s">
        <v>137</v>
      </c>
      <c r="D90" t="str">
        <f t="shared" si="4"/>
        <v>S000091Caroline Parent Nuits-Saint-Georges2017</v>
      </c>
      <c r="E90">
        <f t="shared" si="5"/>
        <v>1</v>
      </c>
      <c r="F90" t="s">
        <v>267</v>
      </c>
      <c r="G90" t="s">
        <v>268</v>
      </c>
      <c r="H90" t="s">
        <v>137</v>
      </c>
      <c r="I90" t="str">
        <f t="shared" si="8"/>
        <v>S000091Caroline Parent Nuits-Saint-Georges2017</v>
      </c>
      <c r="J90">
        <f t="shared" si="7"/>
        <v>1</v>
      </c>
    </row>
    <row r="91" spans="1:12">
      <c r="A91" t="s">
        <v>269</v>
      </c>
      <c r="B91" t="s">
        <v>270</v>
      </c>
      <c r="C91" t="s">
        <v>30</v>
      </c>
      <c r="D91" t="str">
        <f t="shared" si="4"/>
        <v>S000092Caroline Parent Vosne Romanee 'Les Beaumonts' Premier Cru2022</v>
      </c>
      <c r="E91">
        <f t="shared" si="5"/>
        <v>1</v>
      </c>
      <c r="F91" t="s">
        <v>269</v>
      </c>
      <c r="G91" t="s">
        <v>270</v>
      </c>
      <c r="H91" t="s">
        <v>30</v>
      </c>
      <c r="I91" t="str">
        <f t="shared" si="8"/>
        <v>S000092Caroline Parent Vosne Romanee 'Les Beaumonts' Premier Cru2022</v>
      </c>
      <c r="J91">
        <f t="shared" si="7"/>
        <v>1</v>
      </c>
    </row>
    <row r="92" spans="1:12">
      <c r="A92" t="s">
        <v>271</v>
      </c>
      <c r="B92" t="s">
        <v>272</v>
      </c>
      <c r="C92" t="s">
        <v>273</v>
      </c>
      <c r="D92" t="str">
        <f t="shared" si="4"/>
        <v>S000093Castello delle Regine Merlot Umbria IGT2005</v>
      </c>
      <c r="E92">
        <f t="shared" si="5"/>
        <v>1</v>
      </c>
      <c r="F92" t="s">
        <v>271</v>
      </c>
      <c r="G92" t="s">
        <v>272</v>
      </c>
      <c r="H92" t="s">
        <v>273</v>
      </c>
      <c r="I92" t="str">
        <f t="shared" si="8"/>
        <v>S000093Castello delle Regine Merlot Umbria IGT2005</v>
      </c>
      <c r="J92">
        <f t="shared" si="7"/>
        <v>1</v>
      </c>
    </row>
    <row r="93" spans="1:12">
      <c r="A93" t="s">
        <v>274</v>
      </c>
      <c r="B93" t="s">
        <v>275</v>
      </c>
      <c r="C93" t="s">
        <v>276</v>
      </c>
      <c r="D93" t="str">
        <f t="shared" si="4"/>
        <v>S000094Castello di Querceto 'Cignale' Colli della Toscana Centrale IGT1989</v>
      </c>
      <c r="E93">
        <f t="shared" si="5"/>
        <v>1</v>
      </c>
      <c r="F93" t="s">
        <v>274</v>
      </c>
      <c r="G93" t="s">
        <v>275</v>
      </c>
      <c r="H93" t="s">
        <v>276</v>
      </c>
      <c r="I93" t="str">
        <f t="shared" si="8"/>
        <v>S000094Castello di Querceto 'Cignale' Colli della Toscana Centrale IGT1989</v>
      </c>
      <c r="J93">
        <f t="shared" si="7"/>
        <v>1</v>
      </c>
    </row>
    <row r="94" spans="1:12">
      <c r="A94" t="s">
        <v>277</v>
      </c>
      <c r="B94" t="s">
        <v>278</v>
      </c>
      <c r="C94" t="s">
        <v>81</v>
      </c>
      <c r="D94" t="str">
        <f t="shared" si="4"/>
        <v>S000095Rayas Château des Tours Côtes-du-Rhône Grande Réserve Blanc2019</v>
      </c>
      <c r="E94">
        <f t="shared" si="5"/>
        <v>1</v>
      </c>
      <c r="F94" t="s">
        <v>277</v>
      </c>
      <c r="G94" t="s">
        <v>278</v>
      </c>
      <c r="H94" t="s">
        <v>81</v>
      </c>
      <c r="I94" t="str">
        <f t="shared" si="8"/>
        <v>S000095Rayas Château des Tours Côtes-du-Rhône Grande Réserve Blanc2019</v>
      </c>
      <c r="J94">
        <f t="shared" si="7"/>
        <v>1</v>
      </c>
    </row>
    <row r="95" spans="1:12">
      <c r="A95" t="s">
        <v>279</v>
      </c>
      <c r="B95" t="s">
        <v>280</v>
      </c>
      <c r="C95" t="s">
        <v>56</v>
      </c>
      <c r="D95" t="str">
        <f t="shared" si="4"/>
        <v>S000096Domaine Charles Van Canneyt Gevrey-Chambertin2021</v>
      </c>
      <c r="E95">
        <f t="shared" si="5"/>
        <v>1</v>
      </c>
      <c r="F95" t="s">
        <v>279</v>
      </c>
      <c r="G95" t="s">
        <v>280</v>
      </c>
      <c r="H95" t="s">
        <v>56</v>
      </c>
      <c r="I95" t="str">
        <f t="shared" si="8"/>
        <v>S000096Domaine Charles Van Canneyt Gevrey-Chambertin2021</v>
      </c>
      <c r="J95">
        <f t="shared" si="7"/>
        <v>1</v>
      </c>
    </row>
    <row r="96" spans="1:12">
      <c r="A96" t="s">
        <v>281</v>
      </c>
      <c r="B96" t="s">
        <v>282</v>
      </c>
      <c r="C96" t="s">
        <v>56</v>
      </c>
      <c r="D96" t="str">
        <f t="shared" si="4"/>
        <v>S000097Domaine Charles Van Canneyt Morey-Saint-Denis 'Les Sorbets' Premier Cru2021</v>
      </c>
      <c r="E96">
        <f t="shared" si="5"/>
        <v>1</v>
      </c>
      <c r="F96" t="s">
        <v>281</v>
      </c>
      <c r="G96" t="s">
        <v>282</v>
      </c>
      <c r="H96" t="s">
        <v>56</v>
      </c>
      <c r="I96" t="str">
        <f t="shared" si="8"/>
        <v>S000097Domaine Charles Van Canneyt Morey-Saint-Denis 'Les Sorbets' Premier Cru2021</v>
      </c>
      <c r="J96">
        <f t="shared" si="7"/>
        <v>1</v>
      </c>
    </row>
    <row r="97" spans="1:10">
      <c r="A97" t="s">
        <v>283</v>
      </c>
      <c r="B97" t="s">
        <v>284</v>
      </c>
      <c r="C97" t="s">
        <v>114</v>
      </c>
      <c r="D97" t="str">
        <f t="shared" si="4"/>
        <v>S000098Domaine Charlopin Tissier Vosne-Romanée2014</v>
      </c>
      <c r="E97">
        <f t="shared" si="5"/>
        <v>1</v>
      </c>
      <c r="F97" t="s">
        <v>283</v>
      </c>
      <c r="G97" t="s">
        <v>284</v>
      </c>
      <c r="H97" t="s">
        <v>114</v>
      </c>
      <c r="I97" t="str">
        <f t="shared" si="8"/>
        <v>S000098Domaine Charlopin Tissier Vosne-Romanée2014</v>
      </c>
      <c r="J97">
        <f t="shared" si="7"/>
        <v>1</v>
      </c>
    </row>
    <row r="98" spans="1:10">
      <c r="A98" t="s">
        <v>285</v>
      </c>
      <c r="B98" t="s">
        <v>286</v>
      </c>
      <c r="C98" t="s">
        <v>56</v>
      </c>
      <c r="D98" t="str">
        <f t="shared" si="4"/>
        <v>S000099Domaine Chateau de Charodon Beaune 'Les Chouacheux' Premier Cru2021</v>
      </c>
      <c r="E98">
        <f t="shared" si="5"/>
        <v>1</v>
      </c>
      <c r="F98" t="s">
        <v>285</v>
      </c>
      <c r="G98" t="s">
        <v>286</v>
      </c>
      <c r="H98" t="s">
        <v>56</v>
      </c>
      <c r="I98" t="str">
        <f t="shared" si="8"/>
        <v>S000099Domaine Chateau de Charodon Beaune 'Les Chouacheux' Premier Cru2021</v>
      </c>
      <c r="J98">
        <f t="shared" si="7"/>
        <v>1</v>
      </c>
    </row>
    <row r="99" spans="1:10">
      <c r="A99" t="s">
        <v>287</v>
      </c>
      <c r="B99" t="s">
        <v>286</v>
      </c>
      <c r="C99" t="s">
        <v>30</v>
      </c>
      <c r="D99" t="str">
        <f t="shared" si="4"/>
        <v>S000100Domaine Chateau de Charodon Beaune 'Les Chouacheux' Premier Cru2022</v>
      </c>
      <c r="E99">
        <f t="shared" si="5"/>
        <v>1</v>
      </c>
      <c r="F99" t="s">
        <v>287</v>
      </c>
      <c r="G99" t="s">
        <v>286</v>
      </c>
      <c r="H99" t="s">
        <v>30</v>
      </c>
      <c r="I99" t="str">
        <f t="shared" si="8"/>
        <v>S000100Domaine Chateau de Charodon Beaune 'Les Chouacheux' Premier Cru2022</v>
      </c>
      <c r="J99">
        <f t="shared" si="7"/>
        <v>1</v>
      </c>
    </row>
    <row r="100" spans="1:10">
      <c r="A100" t="s">
        <v>288</v>
      </c>
      <c r="B100" t="s">
        <v>286</v>
      </c>
      <c r="C100" t="s">
        <v>289</v>
      </c>
      <c r="D100" t="str">
        <f t="shared" si="4"/>
        <v>S000101Domaine Chateau de Charodon Beaune 'Les Chouacheux' Premier Cru2023</v>
      </c>
      <c r="E100">
        <f t="shared" si="5"/>
        <v>1</v>
      </c>
      <c r="F100" t="s">
        <v>288</v>
      </c>
      <c r="G100" t="s">
        <v>286</v>
      </c>
      <c r="H100" t="s">
        <v>289</v>
      </c>
      <c r="I100" t="str">
        <f t="shared" si="8"/>
        <v>S000101Domaine Chateau de Charodon Beaune 'Les Chouacheux' Premier Cru2023</v>
      </c>
      <c r="J100">
        <f t="shared" si="7"/>
        <v>1</v>
      </c>
    </row>
    <row r="101" spans="1:10">
      <c r="A101" t="s">
        <v>290</v>
      </c>
      <c r="B101" t="s">
        <v>291</v>
      </c>
      <c r="C101" t="s">
        <v>30</v>
      </c>
      <c r="D101" t="str">
        <f t="shared" si="4"/>
        <v>S000102Domaine Chateau de Charodon Bourgogne Chardonnay2022</v>
      </c>
      <c r="E101">
        <f t="shared" si="5"/>
        <v>1</v>
      </c>
      <c r="F101" t="s">
        <v>290</v>
      </c>
      <c r="G101" t="s">
        <v>291</v>
      </c>
      <c r="H101" t="s">
        <v>30</v>
      </c>
      <c r="I101" t="str">
        <f t="shared" si="8"/>
        <v>S000102Domaine Chateau de Charodon Bourgogne Chardonnay2022</v>
      </c>
      <c r="J101">
        <f t="shared" si="7"/>
        <v>1</v>
      </c>
    </row>
    <row r="102" spans="1:10">
      <c r="A102" t="s">
        <v>292</v>
      </c>
      <c r="B102" t="s">
        <v>293</v>
      </c>
      <c r="C102" t="s">
        <v>56</v>
      </c>
      <c r="D102" t="str">
        <f t="shared" si="4"/>
        <v>S000103Domaine Chateau de Charodon Bourgogne2021</v>
      </c>
      <c r="E102">
        <f t="shared" si="5"/>
        <v>1</v>
      </c>
      <c r="F102" t="s">
        <v>292</v>
      </c>
      <c r="G102" t="s">
        <v>293</v>
      </c>
      <c r="H102" t="s">
        <v>56</v>
      </c>
      <c r="I102" t="str">
        <f t="shared" si="8"/>
        <v>S000103Domaine Chateau de Charodon Bourgogne2021</v>
      </c>
      <c r="J102">
        <f t="shared" si="7"/>
        <v>1</v>
      </c>
    </row>
    <row r="103" spans="1:10">
      <c r="A103" t="s">
        <v>294</v>
      </c>
      <c r="B103" t="s">
        <v>295</v>
      </c>
      <c r="C103" t="s">
        <v>289</v>
      </c>
      <c r="D103" t="str">
        <f t="shared" si="4"/>
        <v>S000104Domaine Chateau de Charodon Chambolle-Musigny 'Les Feusselottes' Premier Cru2023</v>
      </c>
      <c r="E103">
        <f t="shared" si="5"/>
        <v>1</v>
      </c>
      <c r="F103" t="s">
        <v>294</v>
      </c>
      <c r="G103" t="s">
        <v>295</v>
      </c>
      <c r="H103" t="s">
        <v>289</v>
      </c>
      <c r="I103" t="str">
        <f t="shared" si="8"/>
        <v>S000104Domaine Chateau de Charodon Chambolle-Musigny 'Les Feusselottes' Premier Cru2023</v>
      </c>
      <c r="J103">
        <f t="shared" si="7"/>
        <v>1</v>
      </c>
    </row>
    <row r="104" spans="1:10">
      <c r="A104" t="s">
        <v>296</v>
      </c>
      <c r="B104" t="s">
        <v>297</v>
      </c>
      <c r="C104" t="s">
        <v>289</v>
      </c>
      <c r="D104" t="str">
        <f t="shared" si="4"/>
        <v>S000105Domaine Chateau de Charodon Charmes-Chambertin Grand Cru2023</v>
      </c>
      <c r="E104">
        <f t="shared" si="5"/>
        <v>1</v>
      </c>
      <c r="F104" t="s">
        <v>296</v>
      </c>
      <c r="G104" t="s">
        <v>297</v>
      </c>
      <c r="H104" t="s">
        <v>289</v>
      </c>
      <c r="I104" t="str">
        <f t="shared" si="8"/>
        <v>S000105Domaine Chateau de Charodon Charmes-Chambertin Grand Cru2023</v>
      </c>
      <c r="J104">
        <f t="shared" si="7"/>
        <v>1</v>
      </c>
    </row>
    <row r="105" spans="1:10">
      <c r="A105" t="s">
        <v>298</v>
      </c>
      <c r="B105" t="s">
        <v>299</v>
      </c>
      <c r="C105" t="s">
        <v>289</v>
      </c>
      <c r="D105" t="str">
        <f t="shared" si="4"/>
        <v>S000106Domaine Chateau de Charodon Corton-Charlemagne Grand Cru2023</v>
      </c>
      <c r="E105">
        <f t="shared" si="5"/>
        <v>1</v>
      </c>
      <c r="F105" t="s">
        <v>298</v>
      </c>
      <c r="G105" t="s">
        <v>299</v>
      </c>
      <c r="H105" t="s">
        <v>289</v>
      </c>
      <c r="I105" t="str">
        <f t="shared" si="8"/>
        <v>S000106Domaine Chateau de Charodon Corton-Charlemagne Grand Cru2023</v>
      </c>
      <c r="J105">
        <f t="shared" si="7"/>
        <v>1</v>
      </c>
    </row>
    <row r="106" spans="1:10">
      <c r="A106" t="s">
        <v>300</v>
      </c>
      <c r="B106" t="s">
        <v>301</v>
      </c>
      <c r="C106" t="s">
        <v>56</v>
      </c>
      <c r="D106" t="str">
        <f t="shared" si="4"/>
        <v>S000107Domaine Chateau de Charodon Corton 'Les Renardes' Grand Cru Rouge2021</v>
      </c>
      <c r="E106">
        <f t="shared" si="5"/>
        <v>1</v>
      </c>
      <c r="F106" t="s">
        <v>300</v>
      </c>
      <c r="G106" t="s">
        <v>301</v>
      </c>
      <c r="H106" t="s">
        <v>56</v>
      </c>
      <c r="I106" t="str">
        <f t="shared" si="8"/>
        <v>S000107Domaine Chateau de Charodon Corton 'Les Renardes' Grand Cru Rouge2021</v>
      </c>
      <c r="J106">
        <f t="shared" si="7"/>
        <v>1</v>
      </c>
    </row>
    <row r="107" spans="1:10">
      <c r="A107" t="s">
        <v>302</v>
      </c>
      <c r="B107" t="s">
        <v>301</v>
      </c>
      <c r="C107" t="s">
        <v>289</v>
      </c>
      <c r="D107" t="str">
        <f t="shared" si="4"/>
        <v>S000108Domaine Chateau de Charodon Corton 'Les Renardes' Grand Cru Rouge2023</v>
      </c>
      <c r="E107">
        <f t="shared" si="5"/>
        <v>1</v>
      </c>
      <c r="F107" t="s">
        <v>302</v>
      </c>
      <c r="G107" t="s">
        <v>301</v>
      </c>
      <c r="H107" t="s">
        <v>289</v>
      </c>
      <c r="I107" t="str">
        <f t="shared" si="8"/>
        <v>S000108Domaine Chateau de Charodon Corton 'Les Renardes' Grand Cru Rouge2023</v>
      </c>
      <c r="J107">
        <f t="shared" si="7"/>
        <v>1</v>
      </c>
    </row>
    <row r="108" spans="1:10">
      <c r="A108" t="s">
        <v>303</v>
      </c>
      <c r="B108" t="s">
        <v>304</v>
      </c>
      <c r="C108" t="s">
        <v>30</v>
      </c>
      <c r="D108" t="str">
        <f t="shared" si="4"/>
        <v>S000109Domaine Chateau de Charodon Côte de Nuits-Villages Rouge2022</v>
      </c>
      <c r="E108">
        <f t="shared" si="5"/>
        <v>1</v>
      </c>
      <c r="F108" t="s">
        <v>303</v>
      </c>
      <c r="G108" t="s">
        <v>304</v>
      </c>
      <c r="H108" t="s">
        <v>30</v>
      </c>
      <c r="I108" t="str">
        <f t="shared" si="8"/>
        <v>S000109Domaine Chateau de Charodon Côte de Nuits-Villages Rouge2022</v>
      </c>
      <c r="J108">
        <f t="shared" si="7"/>
        <v>1</v>
      </c>
    </row>
    <row r="109" spans="1:10">
      <c r="A109" t="s">
        <v>305</v>
      </c>
      <c r="B109" t="s">
        <v>306</v>
      </c>
      <c r="C109" t="s">
        <v>30</v>
      </c>
      <c r="D109" t="str">
        <f t="shared" si="4"/>
        <v>S000110Domaine Chateau de Charodon Fixin 'La Croix Blanche'2022</v>
      </c>
      <c r="E109">
        <f t="shared" si="5"/>
        <v>1</v>
      </c>
      <c r="F109" t="s">
        <v>305</v>
      </c>
      <c r="G109" t="s">
        <v>306</v>
      </c>
      <c r="H109" t="s">
        <v>30</v>
      </c>
      <c r="I109" t="str">
        <f t="shared" si="8"/>
        <v>S000110Domaine Chateau de Charodon Fixin 'La Croix Blanche'2022</v>
      </c>
      <c r="J109">
        <f t="shared" si="7"/>
        <v>1</v>
      </c>
    </row>
    <row r="110" spans="1:10">
      <c r="A110" t="s">
        <v>307</v>
      </c>
      <c r="B110" t="s">
        <v>308</v>
      </c>
      <c r="C110" t="s">
        <v>30</v>
      </c>
      <c r="D110" t="str">
        <f t="shared" si="4"/>
        <v>S000111Domaine Chateau de Charodon Gevrey-Chambertin2022</v>
      </c>
      <c r="E110">
        <f t="shared" si="5"/>
        <v>1</v>
      </c>
      <c r="F110" t="s">
        <v>307</v>
      </c>
      <c r="G110" t="s">
        <v>308</v>
      </c>
      <c r="H110" t="s">
        <v>30</v>
      </c>
      <c r="I110" t="str">
        <f t="shared" si="8"/>
        <v>S000111Domaine Chateau de Charodon Gevrey-Chambertin2022</v>
      </c>
      <c r="J110">
        <f t="shared" si="7"/>
        <v>1</v>
      </c>
    </row>
    <row r="111" spans="1:10">
      <c r="A111" t="s">
        <v>309</v>
      </c>
      <c r="B111" t="s">
        <v>310</v>
      </c>
      <c r="C111" t="s">
        <v>289</v>
      </c>
      <c r="D111" t="str">
        <f t="shared" si="4"/>
        <v>S000112Domaine Chateau de Charodon Gevrey-Chambertin 'Lavaux Saint-Jacques' Premier Cru2023</v>
      </c>
      <c r="E111">
        <f t="shared" si="5"/>
        <v>1</v>
      </c>
      <c r="F111" t="s">
        <v>309</v>
      </c>
      <c r="G111" t="s">
        <v>310</v>
      </c>
      <c r="H111" t="s">
        <v>289</v>
      </c>
      <c r="I111" t="str">
        <f t="shared" si="8"/>
        <v>S000112Domaine Chateau de Charodon Gevrey-Chambertin 'Lavaux Saint-Jacques' Premier Cru2023</v>
      </c>
      <c r="J111">
        <f t="shared" si="7"/>
        <v>1</v>
      </c>
    </row>
    <row r="112" spans="1:10">
      <c r="A112" t="s">
        <v>311</v>
      </c>
      <c r="B112" t="s">
        <v>312</v>
      </c>
      <c r="C112" t="s">
        <v>289</v>
      </c>
      <c r="D112" t="str">
        <f t="shared" si="4"/>
        <v>S000113Domaine Chateau de Charodon Gevrey-Chambertin 'Les Champeaux' Premier Cru2023</v>
      </c>
      <c r="E112">
        <f t="shared" si="5"/>
        <v>1</v>
      </c>
      <c r="F112" t="s">
        <v>311</v>
      </c>
      <c r="G112" t="s">
        <v>312</v>
      </c>
      <c r="H112" t="s">
        <v>289</v>
      </c>
      <c r="I112" t="str">
        <f t="shared" si="8"/>
        <v>S000113Domaine Chateau de Charodon Gevrey-Chambertin 'Les Champeaux' Premier Cru2023</v>
      </c>
      <c r="J112">
        <f t="shared" si="7"/>
        <v>1</v>
      </c>
    </row>
    <row r="113" spans="1:10">
      <c r="A113" t="s">
        <v>313</v>
      </c>
      <c r="B113" t="s">
        <v>314</v>
      </c>
      <c r="C113" t="s">
        <v>30</v>
      </c>
      <c r="D113" t="str">
        <f t="shared" si="4"/>
        <v>S000114Domaine Chateau de Charodon Meursault2022</v>
      </c>
      <c r="E113">
        <f t="shared" si="5"/>
        <v>1</v>
      </c>
      <c r="F113" t="s">
        <v>313</v>
      </c>
      <c r="G113" t="s">
        <v>314</v>
      </c>
      <c r="H113" t="s">
        <v>30</v>
      </c>
      <c r="I113" t="str">
        <f t="shared" si="8"/>
        <v>S000114Domaine Chateau de Charodon Meursault2022</v>
      </c>
      <c r="J113">
        <f t="shared" si="7"/>
        <v>1</v>
      </c>
    </row>
    <row r="114" spans="1:10">
      <c r="A114" t="s">
        <v>315</v>
      </c>
      <c r="B114" t="s">
        <v>316</v>
      </c>
      <c r="C114" t="s">
        <v>289</v>
      </c>
      <c r="D114" t="str">
        <f t="shared" si="4"/>
        <v>S000115Domaine Chateau de Charodon Meursault 'Blagny' Premier Cru2023</v>
      </c>
      <c r="E114">
        <f t="shared" si="5"/>
        <v>1</v>
      </c>
      <c r="F114" t="s">
        <v>315</v>
      </c>
      <c r="G114" t="s">
        <v>316</v>
      </c>
      <c r="H114" t="s">
        <v>289</v>
      </c>
      <c r="I114" t="str">
        <f t="shared" si="8"/>
        <v>S000115Domaine Chateau de Charodon Meursault 'Blagny' Premier Cru2023</v>
      </c>
      <c r="J114">
        <f t="shared" si="7"/>
        <v>1</v>
      </c>
    </row>
    <row r="115" spans="1:10">
      <c r="A115" t="s">
        <v>317</v>
      </c>
      <c r="B115" t="s">
        <v>318</v>
      </c>
      <c r="C115" t="s">
        <v>30</v>
      </c>
      <c r="D115" t="str">
        <f t="shared" si="4"/>
        <v>S000116Domaine Chateau de Charodon Meursault 'Le Porusot' Premier Cru2022</v>
      </c>
      <c r="E115">
        <f t="shared" si="5"/>
        <v>1</v>
      </c>
      <c r="F115" t="s">
        <v>317</v>
      </c>
      <c r="G115" t="s">
        <v>318</v>
      </c>
      <c r="H115" t="s">
        <v>30</v>
      </c>
      <c r="I115" t="str">
        <f t="shared" si="8"/>
        <v>S000116Domaine Chateau de Charodon Meursault 'Le Porusot' Premier Cru2022</v>
      </c>
      <c r="J115">
        <f t="shared" si="7"/>
        <v>1</v>
      </c>
    </row>
    <row r="116" spans="1:10">
      <c r="A116" t="s">
        <v>319</v>
      </c>
      <c r="B116" t="s">
        <v>320</v>
      </c>
      <c r="C116" t="s">
        <v>289</v>
      </c>
      <c r="D116" t="str">
        <f t="shared" si="4"/>
        <v>S000117Domaine Chateau de Charodon Meursault 'Chevalières'2023</v>
      </c>
      <c r="E116">
        <f t="shared" si="5"/>
        <v>1</v>
      </c>
      <c r="F116" t="s">
        <v>319</v>
      </c>
      <c r="G116" t="s">
        <v>320</v>
      </c>
      <c r="H116" t="s">
        <v>289</v>
      </c>
      <c r="I116" t="str">
        <f t="shared" si="8"/>
        <v>S000117Domaine Chateau de Charodon Meursault 'Chevalières'2023</v>
      </c>
      <c r="J116">
        <f t="shared" si="7"/>
        <v>1</v>
      </c>
    </row>
    <row r="117" spans="1:10">
      <c r="A117" t="s">
        <v>321</v>
      </c>
      <c r="B117" t="s">
        <v>322</v>
      </c>
      <c r="C117" t="s">
        <v>30</v>
      </c>
      <c r="D117" t="str">
        <f t="shared" si="4"/>
        <v>S000118Domaine Chateau de Charodon Pommard2022</v>
      </c>
      <c r="E117">
        <f t="shared" si="5"/>
        <v>1</v>
      </c>
      <c r="F117" t="s">
        <v>321</v>
      </c>
      <c r="G117" t="s">
        <v>322</v>
      </c>
      <c r="H117" t="s">
        <v>30</v>
      </c>
      <c r="I117" t="str">
        <f t="shared" si="8"/>
        <v>S000118Domaine Chateau de Charodon Pommard2022</v>
      </c>
      <c r="J117">
        <f t="shared" si="7"/>
        <v>1</v>
      </c>
    </row>
    <row r="118" spans="1:10">
      <c r="A118" t="s">
        <v>323</v>
      </c>
      <c r="B118" t="s">
        <v>322</v>
      </c>
      <c r="C118" t="s">
        <v>289</v>
      </c>
      <c r="D118" t="str">
        <f t="shared" si="4"/>
        <v>S000119Domaine Chateau de Charodon Pommard2023</v>
      </c>
      <c r="E118">
        <f t="shared" si="5"/>
        <v>1</v>
      </c>
      <c r="F118" t="s">
        <v>323</v>
      </c>
      <c r="G118" t="s">
        <v>322</v>
      </c>
      <c r="H118" t="s">
        <v>289</v>
      </c>
      <c r="I118" t="str">
        <f t="shared" si="8"/>
        <v>S000119Domaine Chateau de Charodon Pommard2023</v>
      </c>
      <c r="J118">
        <f t="shared" si="7"/>
        <v>1</v>
      </c>
    </row>
    <row r="119" spans="1:10">
      <c r="A119" t="s">
        <v>324</v>
      </c>
      <c r="B119" t="s">
        <v>325</v>
      </c>
      <c r="C119" t="s">
        <v>289</v>
      </c>
      <c r="D119" t="str">
        <f t="shared" si="4"/>
        <v>S000120Domaine Chateau de Charodon Pommard 'Clos des Arvelets' Premier Cru2023</v>
      </c>
      <c r="E119">
        <f t="shared" si="5"/>
        <v>1</v>
      </c>
      <c r="F119" t="s">
        <v>324</v>
      </c>
      <c r="G119" t="s">
        <v>325</v>
      </c>
      <c r="H119" t="s">
        <v>289</v>
      </c>
      <c r="I119" t="str">
        <f t="shared" si="8"/>
        <v>S000120Domaine Chateau de Charodon Pommard 'Clos des Arvelets' Premier Cru2023</v>
      </c>
      <c r="J119">
        <f t="shared" si="7"/>
        <v>1</v>
      </c>
    </row>
    <row r="120" spans="1:10">
      <c r="A120" t="s">
        <v>326</v>
      </c>
      <c r="B120" t="s">
        <v>327</v>
      </c>
      <c r="C120" t="s">
        <v>30</v>
      </c>
      <c r="D120" t="str">
        <f t="shared" si="4"/>
        <v>S000121Domaine Chateau de Charodon Puligny-Montrachet2022</v>
      </c>
      <c r="E120">
        <f t="shared" si="5"/>
        <v>1</v>
      </c>
      <c r="F120" t="s">
        <v>326</v>
      </c>
      <c r="G120" t="s">
        <v>327</v>
      </c>
      <c r="H120" t="s">
        <v>30</v>
      </c>
      <c r="I120" t="str">
        <f t="shared" si="8"/>
        <v>S000121Domaine Chateau de Charodon Puligny-Montrachet2022</v>
      </c>
      <c r="J120">
        <f t="shared" si="7"/>
        <v>1</v>
      </c>
    </row>
    <row r="121" spans="1:10">
      <c r="A121" t="s">
        <v>328</v>
      </c>
      <c r="B121" t="s">
        <v>327</v>
      </c>
      <c r="C121" t="s">
        <v>289</v>
      </c>
      <c r="D121" t="str">
        <f t="shared" si="4"/>
        <v>S000122Domaine Chateau de Charodon Puligny-Montrachet2023</v>
      </c>
      <c r="E121">
        <f t="shared" si="5"/>
        <v>1</v>
      </c>
      <c r="F121" t="s">
        <v>328</v>
      </c>
      <c r="G121" t="s">
        <v>327</v>
      </c>
      <c r="H121" t="s">
        <v>289</v>
      </c>
      <c r="I121" t="str">
        <f t="shared" si="8"/>
        <v>S000122Domaine Chateau de Charodon Puligny-Montrachet2023</v>
      </c>
      <c r="J121">
        <f t="shared" si="7"/>
        <v>1</v>
      </c>
    </row>
    <row r="122" spans="1:10">
      <c r="A122" t="s">
        <v>329</v>
      </c>
      <c r="B122" t="s">
        <v>330</v>
      </c>
      <c r="C122" t="s">
        <v>289</v>
      </c>
      <c r="D122" t="str">
        <f t="shared" si="4"/>
        <v>S000123Domaine Chateau de Charodon Puligny-Montrachet 'La Garenne' Premier Cru2023</v>
      </c>
      <c r="E122">
        <f t="shared" si="5"/>
        <v>1</v>
      </c>
      <c r="F122" t="s">
        <v>329</v>
      </c>
      <c r="G122" t="s">
        <v>330</v>
      </c>
      <c r="H122" t="s">
        <v>289</v>
      </c>
      <c r="I122" t="str">
        <f t="shared" si="8"/>
        <v>S000123Domaine Chateau de Charodon Puligny-Montrachet 'La Garenne' Premier Cru2023</v>
      </c>
      <c r="J122">
        <f t="shared" si="7"/>
        <v>1</v>
      </c>
    </row>
    <row r="123" spans="1:10">
      <c r="A123" t="s">
        <v>331</v>
      </c>
      <c r="B123" t="s">
        <v>332</v>
      </c>
      <c r="C123" t="s">
        <v>30</v>
      </c>
      <c r="D123" t="str">
        <f t="shared" si="4"/>
        <v>S000124Domaine Chateau de Charodon Saint-Aubin 'Les Frionnes' Premier Cru2022</v>
      </c>
      <c r="E123">
        <f t="shared" si="5"/>
        <v>1</v>
      </c>
      <c r="F123" t="s">
        <v>331</v>
      </c>
      <c r="G123" t="s">
        <v>332</v>
      </c>
      <c r="H123" t="s">
        <v>30</v>
      </c>
      <c r="I123" t="str">
        <f t="shared" si="8"/>
        <v>S000124Domaine Chateau de Charodon Saint-Aubin 'Les Frionnes' Premier Cru2022</v>
      </c>
      <c r="J123">
        <f t="shared" si="7"/>
        <v>1</v>
      </c>
    </row>
    <row r="124" spans="1:10">
      <c r="A124" t="s">
        <v>333</v>
      </c>
      <c r="B124" t="s">
        <v>332</v>
      </c>
      <c r="C124" t="s">
        <v>289</v>
      </c>
      <c r="D124" t="str">
        <f t="shared" si="4"/>
        <v>S000125Domaine Chateau de Charodon Saint-Aubin 'Les Frionnes' Premier Cru2023</v>
      </c>
      <c r="E124">
        <f t="shared" si="5"/>
        <v>1</v>
      </c>
      <c r="F124" t="s">
        <v>333</v>
      </c>
      <c r="G124" t="s">
        <v>332</v>
      </c>
      <c r="H124" t="s">
        <v>289</v>
      </c>
      <c r="I124" t="str">
        <f t="shared" si="8"/>
        <v>S000125Domaine Chateau de Charodon Saint-Aubin 'Les Frionnes' Premier Cru2023</v>
      </c>
      <c r="J124">
        <f t="shared" si="7"/>
        <v>1</v>
      </c>
    </row>
    <row r="125" spans="1:10">
      <c r="A125" t="s">
        <v>334</v>
      </c>
      <c r="B125" t="s">
        <v>335</v>
      </c>
      <c r="C125" t="s">
        <v>289</v>
      </c>
      <c r="D125" t="str">
        <f t="shared" si="4"/>
        <v>S000126Domaine Chateau de Charodon Vosne-Romanée 'Les Suchots' Premier Cru2023</v>
      </c>
      <c r="E125">
        <f t="shared" si="5"/>
        <v>1</v>
      </c>
      <c r="F125" t="s">
        <v>334</v>
      </c>
      <c r="G125" t="s">
        <v>335</v>
      </c>
      <c r="H125" t="s">
        <v>289</v>
      </c>
      <c r="I125" t="str">
        <f t="shared" si="8"/>
        <v>S000126Domaine Chateau de Charodon Vosne-Romanée 'Les Suchots' Premier Cru2023</v>
      </c>
      <c r="J125">
        <f t="shared" si="7"/>
        <v>1</v>
      </c>
    </row>
    <row r="126" spans="1:10">
      <c r="A126" t="s">
        <v>336</v>
      </c>
      <c r="B126" t="s">
        <v>337</v>
      </c>
      <c r="C126" t="s">
        <v>289</v>
      </c>
      <c r="D126" t="str">
        <f t="shared" si="4"/>
        <v>S000127Domaine Chateau de Charodon Vougeots 'Les Petits Vougeots' Premier Cru2023</v>
      </c>
      <c r="E126">
        <f t="shared" si="5"/>
        <v>1</v>
      </c>
      <c r="F126" t="s">
        <v>336</v>
      </c>
      <c r="G126" t="s">
        <v>337</v>
      </c>
      <c r="H126" t="s">
        <v>289</v>
      </c>
      <c r="I126" t="str">
        <f t="shared" si="8"/>
        <v>S000127Domaine Chateau de Charodon Vougeots 'Les Petits Vougeots' Premier Cru2023</v>
      </c>
      <c r="J126">
        <f t="shared" si="7"/>
        <v>1</v>
      </c>
    </row>
    <row r="127" spans="1:10">
      <c r="A127" t="s">
        <v>338</v>
      </c>
      <c r="B127" t="s">
        <v>339</v>
      </c>
      <c r="C127" t="s">
        <v>81</v>
      </c>
      <c r="D127" t="str">
        <f t="shared" si="4"/>
        <v>S000128Château Batailley Pauillac2019</v>
      </c>
      <c r="E127">
        <f t="shared" si="5"/>
        <v>1</v>
      </c>
      <c r="F127" t="s">
        <v>338</v>
      </c>
      <c r="G127" t="s">
        <v>339</v>
      </c>
      <c r="H127" t="s">
        <v>81</v>
      </c>
      <c r="I127" t="str">
        <f t="shared" si="8"/>
        <v>S000128Château Batailley Pauillac2019</v>
      </c>
      <c r="J127">
        <f t="shared" si="7"/>
        <v>1</v>
      </c>
    </row>
    <row r="128" spans="1:10">
      <c r="A128" t="s">
        <v>340</v>
      </c>
      <c r="B128" t="s">
        <v>341</v>
      </c>
      <c r="C128" t="s">
        <v>118</v>
      </c>
      <c r="D128" t="str">
        <f t="shared" si="4"/>
        <v>S000129Château Chauvin Saint-Émilion Grand Cru2018</v>
      </c>
      <c r="E128">
        <f t="shared" si="5"/>
        <v>1</v>
      </c>
      <c r="F128" t="s">
        <v>340</v>
      </c>
      <c r="G128" t="s">
        <v>341</v>
      </c>
      <c r="H128" t="s">
        <v>118</v>
      </c>
      <c r="I128" t="str">
        <f t="shared" si="8"/>
        <v>S000129Château Chauvin Saint-Émilion Grand Cru2018</v>
      </c>
      <c r="J128">
        <f t="shared" si="7"/>
        <v>1</v>
      </c>
    </row>
    <row r="129" spans="1:10">
      <c r="A129" t="s">
        <v>342</v>
      </c>
      <c r="B129" t="s">
        <v>343</v>
      </c>
      <c r="C129" t="s">
        <v>118</v>
      </c>
      <c r="D129" t="str">
        <f t="shared" si="4"/>
        <v>S000130Domaine du Clos de Tart 'Clos de Tart' Grand Cru Monopole2018</v>
      </c>
      <c r="E129">
        <f t="shared" si="5"/>
        <v>1</v>
      </c>
      <c r="F129" t="s">
        <v>342</v>
      </c>
      <c r="G129" t="s">
        <v>343</v>
      </c>
      <c r="H129" t="s">
        <v>118</v>
      </c>
      <c r="I129" t="str">
        <f t="shared" ref="I129:I192" si="9">F129&amp;G129&amp;H129</f>
        <v>S000130Domaine du Clos de Tart 'Clos de Tart' Grand Cru Monopole2018</v>
      </c>
      <c r="J129">
        <f t="shared" si="7"/>
        <v>1</v>
      </c>
    </row>
    <row r="130" spans="1:10">
      <c r="A130" t="s">
        <v>344</v>
      </c>
      <c r="B130" t="s">
        <v>345</v>
      </c>
      <c r="C130" t="s">
        <v>346</v>
      </c>
      <c r="D130" t="str">
        <f t="shared" si="4"/>
        <v>S000131Domaine du Clos de Tart Morey-Saint-Denis 'La Forge de Tart' Premier Cru2004</v>
      </c>
      <c r="E130">
        <f t="shared" si="5"/>
        <v>1</v>
      </c>
      <c r="F130" t="s">
        <v>344</v>
      </c>
      <c r="G130" t="s">
        <v>345</v>
      </c>
      <c r="H130" t="s">
        <v>346</v>
      </c>
      <c r="I130" t="str">
        <f t="shared" si="9"/>
        <v>S000131Domaine du Clos de Tart Morey-Saint-Denis 'La Forge de Tart' Premier Cru2004</v>
      </c>
      <c r="J130">
        <f t="shared" si="7"/>
        <v>1</v>
      </c>
    </row>
    <row r="131" spans="1:10">
      <c r="A131" t="s">
        <v>347</v>
      </c>
      <c r="B131" t="s">
        <v>348</v>
      </c>
      <c r="C131" t="s">
        <v>111</v>
      </c>
      <c r="D131" t="str">
        <f t="shared" ref="D131:D194" si="10">A131&amp;B131&amp;C131</f>
        <v>S000132Le Clos du Caillou Châteauneuf-du-Pape 'La Réserve'2013</v>
      </c>
      <c r="E131">
        <f t="shared" ref="E131:E194" si="11">IF(A131=F131,1,0)</f>
        <v>1</v>
      </c>
      <c r="F131" t="s">
        <v>347</v>
      </c>
      <c r="G131" t="s">
        <v>348</v>
      </c>
      <c r="H131" t="s">
        <v>111</v>
      </c>
      <c r="I131" t="str">
        <f t="shared" si="9"/>
        <v>S000132Le Clos du Caillou Châteauneuf-du-Pape 'La Réserve'2013</v>
      </c>
      <c r="J131">
        <f t="shared" ref="J131:J194" si="12">IF(D131=I131,1,0)</f>
        <v>1</v>
      </c>
    </row>
    <row r="132" spans="1:10">
      <c r="A132" t="s">
        <v>349</v>
      </c>
      <c r="B132" t="s">
        <v>350</v>
      </c>
      <c r="C132" t="s">
        <v>129</v>
      </c>
      <c r="D132" t="str">
        <f t="shared" si="10"/>
        <v>S000133Le Clos du Caillou Châteauneuf-du-Pape 'Les Quartz'2016</v>
      </c>
      <c r="E132">
        <f t="shared" si="11"/>
        <v>1</v>
      </c>
      <c r="F132" t="s">
        <v>349</v>
      </c>
      <c r="G132" t="s">
        <v>350</v>
      </c>
      <c r="H132" t="s">
        <v>129</v>
      </c>
      <c r="I132" t="str">
        <f t="shared" si="9"/>
        <v>S000133Le Clos du Caillou Châteauneuf-du-Pape 'Les Quartz'2016</v>
      </c>
      <c r="J132">
        <f t="shared" si="12"/>
        <v>1</v>
      </c>
    </row>
    <row r="133" spans="1:10">
      <c r="A133" t="s">
        <v>351</v>
      </c>
      <c r="B133" t="s">
        <v>352</v>
      </c>
      <c r="C133" t="s">
        <v>81</v>
      </c>
      <c r="D133" t="str">
        <f t="shared" si="10"/>
        <v>S000134Chateau Clos Fourtet Saint-Émilion Premier Grand Cru Classé2019</v>
      </c>
      <c r="E133">
        <f t="shared" si="11"/>
        <v>1</v>
      </c>
      <c r="F133" t="s">
        <v>351</v>
      </c>
      <c r="G133" t="s">
        <v>352</v>
      </c>
      <c r="H133" t="s">
        <v>81</v>
      </c>
      <c r="I133" t="str">
        <f t="shared" si="9"/>
        <v>S000134Chateau Clos Fourtet Saint-Émilion Premier Grand Cru Classé2019</v>
      </c>
      <c r="J133">
        <f t="shared" si="12"/>
        <v>1</v>
      </c>
    </row>
    <row r="134" spans="1:10">
      <c r="A134" t="s">
        <v>353</v>
      </c>
      <c r="B134" t="s">
        <v>354</v>
      </c>
      <c r="C134" t="s">
        <v>81</v>
      </c>
      <c r="D134" t="str">
        <f t="shared" si="10"/>
        <v>S000135Coche-Dury Bourgogne Aligoté2019</v>
      </c>
      <c r="E134">
        <f t="shared" si="11"/>
        <v>1</v>
      </c>
      <c r="F134" t="s">
        <v>353</v>
      </c>
      <c r="G134" t="s">
        <v>354</v>
      </c>
      <c r="H134" t="s">
        <v>81</v>
      </c>
      <c r="I134" t="str">
        <f t="shared" si="9"/>
        <v>S000135Coche-Dury Bourgogne Aligoté2019</v>
      </c>
      <c r="J134">
        <f t="shared" si="12"/>
        <v>1</v>
      </c>
    </row>
    <row r="135" spans="1:10">
      <c r="A135" t="s">
        <v>355</v>
      </c>
      <c r="B135" t="s">
        <v>356</v>
      </c>
      <c r="C135" t="s">
        <v>118</v>
      </c>
      <c r="D135" t="str">
        <f t="shared" si="10"/>
        <v>S000136Coche-Dury Meursault2018</v>
      </c>
      <c r="E135">
        <f t="shared" si="11"/>
        <v>1</v>
      </c>
      <c r="F135" t="s">
        <v>355</v>
      </c>
      <c r="G135" t="s">
        <v>356</v>
      </c>
      <c r="H135" t="s">
        <v>118</v>
      </c>
      <c r="I135" t="str">
        <f t="shared" si="9"/>
        <v>S000136Coche-Dury Meursault2018</v>
      </c>
      <c r="J135">
        <f t="shared" si="12"/>
        <v>1</v>
      </c>
    </row>
    <row r="136" spans="1:10">
      <c r="A136" t="s">
        <v>357</v>
      </c>
      <c r="B136" t="s">
        <v>356</v>
      </c>
      <c r="C136" t="s">
        <v>81</v>
      </c>
      <c r="D136" t="str">
        <f t="shared" si="10"/>
        <v>S000137Coche-Dury Meursault2019</v>
      </c>
      <c r="E136">
        <f t="shared" si="11"/>
        <v>1</v>
      </c>
      <c r="F136" t="s">
        <v>357</v>
      </c>
      <c r="G136" t="s">
        <v>356</v>
      </c>
      <c r="H136" t="s">
        <v>81</v>
      </c>
      <c r="I136" t="str">
        <f t="shared" si="9"/>
        <v>S000137Coche-Dury Meursault2019</v>
      </c>
      <c r="J136">
        <f t="shared" si="12"/>
        <v>1</v>
      </c>
    </row>
    <row r="137" spans="1:10">
      <c r="A137" t="s">
        <v>358</v>
      </c>
      <c r="B137" t="s">
        <v>359</v>
      </c>
      <c r="C137" t="s">
        <v>144</v>
      </c>
      <c r="D137" t="str">
        <f t="shared" si="10"/>
        <v>S000138Coessens Largillier Brut NatureNV</v>
      </c>
      <c r="E137">
        <f t="shared" si="11"/>
        <v>1</v>
      </c>
      <c r="F137" t="s">
        <v>358</v>
      </c>
      <c r="G137" t="s">
        <v>359</v>
      </c>
      <c r="H137" t="s">
        <v>144</v>
      </c>
      <c r="I137" t="str">
        <f t="shared" si="9"/>
        <v>S000138Coessens Largillier Brut NatureNV</v>
      </c>
      <c r="J137">
        <f t="shared" si="12"/>
        <v>1</v>
      </c>
    </row>
    <row r="138" spans="1:10">
      <c r="A138" t="s">
        <v>360</v>
      </c>
      <c r="B138" t="s">
        <v>361</v>
      </c>
      <c r="C138" t="s">
        <v>125</v>
      </c>
      <c r="D138" t="str">
        <f t="shared" si="10"/>
        <v>S000139Domaine Comte de Montebello Montrachet Grand Cru2008</v>
      </c>
      <c r="E138">
        <f t="shared" si="11"/>
        <v>1</v>
      </c>
      <c r="F138" t="s">
        <v>360</v>
      </c>
      <c r="G138" t="s">
        <v>361</v>
      </c>
      <c r="H138" t="s">
        <v>125</v>
      </c>
      <c r="I138" t="str">
        <f t="shared" si="9"/>
        <v>S000139Domaine Comte de Montebello Montrachet Grand Cru2008</v>
      </c>
      <c r="J138">
        <f t="shared" si="12"/>
        <v>1</v>
      </c>
    </row>
    <row r="139" spans="1:10">
      <c r="A139" t="s">
        <v>362</v>
      </c>
      <c r="B139" t="s">
        <v>363</v>
      </c>
      <c r="C139" t="s">
        <v>111</v>
      </c>
      <c r="D139" t="str">
        <f t="shared" si="10"/>
        <v>S000140Domaine Comte Georges de Vogüé Chambolle-Musigny2013</v>
      </c>
      <c r="E139">
        <f t="shared" si="11"/>
        <v>1</v>
      </c>
      <c r="F139" t="s">
        <v>362</v>
      </c>
      <c r="G139" t="s">
        <v>363</v>
      </c>
      <c r="H139" t="s">
        <v>111</v>
      </c>
      <c r="I139" t="str">
        <f t="shared" si="9"/>
        <v>S000140Domaine Comte Georges de Vogüé Chambolle-Musigny2013</v>
      </c>
      <c r="J139">
        <f t="shared" si="12"/>
        <v>1</v>
      </c>
    </row>
    <row r="140" spans="1:10">
      <c r="A140" t="s">
        <v>364</v>
      </c>
      <c r="B140" t="s">
        <v>365</v>
      </c>
      <c r="C140" t="s">
        <v>346</v>
      </c>
      <c r="D140" t="str">
        <f t="shared" si="10"/>
        <v>S000141Domaine du Comte Liger-Belair La Romanée Grand Cru2004</v>
      </c>
      <c r="E140">
        <f t="shared" si="11"/>
        <v>1</v>
      </c>
      <c r="F140" t="s">
        <v>364</v>
      </c>
      <c r="G140" t="s">
        <v>365</v>
      </c>
      <c r="H140" t="s">
        <v>346</v>
      </c>
      <c r="I140" t="str">
        <f t="shared" si="9"/>
        <v>S000141Domaine du Comte Liger-Belair La Romanée Grand Cru2004</v>
      </c>
      <c r="J140">
        <f t="shared" si="12"/>
        <v>1</v>
      </c>
    </row>
    <row r="141" spans="1:10">
      <c r="A141" t="s">
        <v>366</v>
      </c>
      <c r="B141" t="s">
        <v>367</v>
      </c>
      <c r="C141" t="s">
        <v>114</v>
      </c>
      <c r="D141" t="str">
        <f t="shared" si="10"/>
        <v>S000142Domaine du Comte Liger-Belair Vosne-Romanée 'Clos du Chateau' Monopole2014</v>
      </c>
      <c r="E141">
        <f t="shared" si="11"/>
        <v>1</v>
      </c>
      <c r="F141" t="s">
        <v>366</v>
      </c>
      <c r="G141" t="s">
        <v>367</v>
      </c>
      <c r="H141" t="s">
        <v>114</v>
      </c>
      <c r="I141" t="str">
        <f t="shared" si="9"/>
        <v>S000142Domaine du Comte Liger-Belair Vosne-Romanée 'Clos du Chateau' Monopole2014</v>
      </c>
      <c r="J141">
        <f t="shared" si="12"/>
        <v>1</v>
      </c>
    </row>
    <row r="142" spans="1:10">
      <c r="A142" t="s">
        <v>368</v>
      </c>
      <c r="B142" t="s">
        <v>369</v>
      </c>
      <c r="C142" t="s">
        <v>172</v>
      </c>
      <c r="D142" t="str">
        <f t="shared" si="10"/>
        <v>S000143Domaine des Comtes Lafon Meursault 'Les Boucheres' Premier Cru2012</v>
      </c>
      <c r="E142">
        <f t="shared" si="11"/>
        <v>1</v>
      </c>
      <c r="F142" t="s">
        <v>368</v>
      </c>
      <c r="G142" t="s">
        <v>369</v>
      </c>
      <c r="H142" t="s">
        <v>172</v>
      </c>
      <c r="I142" t="str">
        <f t="shared" si="9"/>
        <v>S000143Domaine des Comtes Lafon Meursault 'Les Boucheres' Premier Cru2012</v>
      </c>
      <c r="J142">
        <f t="shared" si="12"/>
        <v>1</v>
      </c>
    </row>
    <row r="143" spans="1:10">
      <c r="A143" t="s">
        <v>370</v>
      </c>
      <c r="B143" t="s">
        <v>371</v>
      </c>
      <c r="C143" t="s">
        <v>222</v>
      </c>
      <c r="D143" t="str">
        <f t="shared" si="10"/>
        <v>S000144Domaine Coquard-Loison-Fleurot Chambolle-Musigny2015</v>
      </c>
      <c r="E143">
        <f t="shared" si="11"/>
        <v>1</v>
      </c>
      <c r="F143" t="s">
        <v>370</v>
      </c>
      <c r="G143" t="s">
        <v>371</v>
      </c>
      <c r="H143" t="s">
        <v>222</v>
      </c>
      <c r="I143" t="str">
        <f t="shared" si="9"/>
        <v>S000144Domaine Coquard-Loison-Fleurot Chambolle-Musigny2015</v>
      </c>
      <c r="J143">
        <f t="shared" si="12"/>
        <v>1</v>
      </c>
    </row>
    <row r="144" spans="1:10">
      <c r="A144" t="s">
        <v>372</v>
      </c>
      <c r="B144" t="s">
        <v>373</v>
      </c>
      <c r="C144" t="s">
        <v>137</v>
      </c>
      <c r="D144" t="str">
        <f t="shared" si="10"/>
        <v>S000145Domaine Coquard-Loison-Fleurot Vosne-Romanée2017</v>
      </c>
      <c r="E144">
        <f t="shared" si="11"/>
        <v>1</v>
      </c>
      <c r="F144" t="s">
        <v>372</v>
      </c>
      <c r="G144" t="s">
        <v>373</v>
      </c>
      <c r="H144" t="s">
        <v>137</v>
      </c>
      <c r="I144" t="str">
        <f t="shared" si="9"/>
        <v>S000145Domaine Coquard-Loison-Fleurot Vosne-Romanée2017</v>
      </c>
      <c r="J144">
        <f t="shared" si="12"/>
        <v>1</v>
      </c>
    </row>
    <row r="145" spans="1:10">
      <c r="A145" t="s">
        <v>374</v>
      </c>
      <c r="B145" t="s">
        <v>375</v>
      </c>
      <c r="C145" t="s">
        <v>133</v>
      </c>
      <c r="D145" t="str">
        <f t="shared" si="10"/>
        <v>S000146Chateau Cos d'Estournel Saint-Estèphe Deuxième Grand Cru Classé2007</v>
      </c>
      <c r="E145">
        <f t="shared" si="11"/>
        <v>1</v>
      </c>
      <c r="F145" t="s">
        <v>374</v>
      </c>
      <c r="G145" t="s">
        <v>375</v>
      </c>
      <c r="H145" t="s">
        <v>133</v>
      </c>
      <c r="I145" t="str">
        <f t="shared" si="9"/>
        <v>S000146Chateau Cos d'Estournel Saint-Estèphe Deuxième Grand Cru Classé2007</v>
      </c>
      <c r="J145">
        <f t="shared" si="12"/>
        <v>1</v>
      </c>
    </row>
    <row r="146" spans="1:10">
      <c r="A146" t="s">
        <v>376</v>
      </c>
      <c r="B146" t="s">
        <v>377</v>
      </c>
      <c r="C146" t="s">
        <v>125</v>
      </c>
      <c r="D146" t="str">
        <f t="shared" si="10"/>
        <v>S000147Chateau Cos Labory Saint-Estèphe Grand Cru Classé2008</v>
      </c>
      <c r="E146">
        <f t="shared" si="11"/>
        <v>1</v>
      </c>
      <c r="F146" t="s">
        <v>376</v>
      </c>
      <c r="G146" t="s">
        <v>377</v>
      </c>
      <c r="H146" t="s">
        <v>125</v>
      </c>
      <c r="I146" t="str">
        <f t="shared" si="9"/>
        <v>S000147Chateau Cos Labory Saint-Estèphe Grand Cru Classé2008</v>
      </c>
      <c r="J146">
        <f t="shared" si="12"/>
        <v>1</v>
      </c>
    </row>
    <row r="147" spans="1:10">
      <c r="A147" t="s">
        <v>378</v>
      </c>
      <c r="B147" t="s">
        <v>379</v>
      </c>
      <c r="C147" t="s">
        <v>121</v>
      </c>
      <c r="D147" t="str">
        <f t="shared" si="10"/>
        <v>S000148Coudray-Bizot Chateau de Beaufort Gevrey-Chambertin Premier Cru2001</v>
      </c>
      <c r="E147">
        <f t="shared" si="11"/>
        <v>1</v>
      </c>
      <c r="F147" t="s">
        <v>378</v>
      </c>
      <c r="G147" t="s">
        <v>379</v>
      </c>
      <c r="H147" t="s">
        <v>121</v>
      </c>
      <c r="I147" t="str">
        <f t="shared" si="9"/>
        <v>S000148Coudray-Bizot Chateau de Beaufort Gevrey-Chambertin Premier Cru2001</v>
      </c>
      <c r="J147">
        <f t="shared" si="12"/>
        <v>1</v>
      </c>
    </row>
    <row r="148" spans="1:10">
      <c r="A148" t="s">
        <v>380</v>
      </c>
      <c r="B148" t="s">
        <v>381</v>
      </c>
      <c r="C148" t="s">
        <v>127</v>
      </c>
      <c r="D148" t="str">
        <f t="shared" si="10"/>
        <v>S000149Coudray-Bizot Chateau de Beaufort Gevrey-Chambertin 'Les Champeaux' Premier Cru2009</v>
      </c>
      <c r="E148">
        <f t="shared" si="11"/>
        <v>1</v>
      </c>
      <c r="F148" t="s">
        <v>380</v>
      </c>
      <c r="G148" t="s">
        <v>381</v>
      </c>
      <c r="H148" t="s">
        <v>127</v>
      </c>
      <c r="I148" t="str">
        <f t="shared" si="9"/>
        <v>S000149Coudray-Bizot Chateau de Beaufort Gevrey-Chambertin 'Les Champeaux' Premier Cru2009</v>
      </c>
      <c r="J148">
        <f t="shared" si="12"/>
        <v>1</v>
      </c>
    </row>
    <row r="149" spans="1:10">
      <c r="A149" t="s">
        <v>382</v>
      </c>
      <c r="B149" t="s">
        <v>381</v>
      </c>
      <c r="C149" t="s">
        <v>137</v>
      </c>
      <c r="D149" t="str">
        <f t="shared" si="10"/>
        <v>S000150Coudray-Bizot Chateau de Beaufort Gevrey-Chambertin 'Les Champeaux' Premier Cru2017</v>
      </c>
      <c r="E149">
        <f t="shared" si="11"/>
        <v>1</v>
      </c>
      <c r="F149" t="s">
        <v>382</v>
      </c>
      <c r="G149" t="s">
        <v>381</v>
      </c>
      <c r="H149" t="s">
        <v>137</v>
      </c>
      <c r="I149" t="str">
        <f t="shared" si="9"/>
        <v>S000150Coudray-Bizot Chateau de Beaufort Gevrey-Chambertin 'Les Champeaux' Premier Cru2017</v>
      </c>
      <c r="J149">
        <f t="shared" si="12"/>
        <v>1</v>
      </c>
    </row>
    <row r="150" spans="1:10">
      <c r="A150" t="s">
        <v>383</v>
      </c>
      <c r="B150" t="s">
        <v>384</v>
      </c>
      <c r="C150" t="s">
        <v>137</v>
      </c>
      <c r="D150" t="str">
        <f t="shared" si="10"/>
        <v>S000151Coudray-Bizot Chateau de Beaufort Gevrey-Chambertin 'Les Cazetiers' Premier Cru2017</v>
      </c>
      <c r="E150">
        <f t="shared" si="11"/>
        <v>1</v>
      </c>
      <c r="F150" t="s">
        <v>383</v>
      </c>
      <c r="G150" t="s">
        <v>384</v>
      </c>
      <c r="H150" t="s">
        <v>137</v>
      </c>
      <c r="I150" t="str">
        <f t="shared" si="9"/>
        <v>S000151Coudray-Bizot Chateau de Beaufort Gevrey-Chambertin 'Les Cazetiers' Premier Cru2017</v>
      </c>
      <c r="J150">
        <f t="shared" si="12"/>
        <v>1</v>
      </c>
    </row>
    <row r="151" spans="1:10">
      <c r="A151" t="s">
        <v>385</v>
      </c>
      <c r="B151" t="s">
        <v>386</v>
      </c>
      <c r="C151" t="s">
        <v>137</v>
      </c>
      <c r="D151" t="str">
        <f t="shared" si="10"/>
        <v>S000152Coudray-Bizot Chateau de Beaufort Nuits-Saint-Georges 'Au Bas de Combe'2017</v>
      </c>
      <c r="E151">
        <f t="shared" si="11"/>
        <v>1</v>
      </c>
      <c r="F151" t="s">
        <v>385</v>
      </c>
      <c r="G151" t="s">
        <v>386</v>
      </c>
      <c r="H151" t="s">
        <v>137</v>
      </c>
      <c r="I151" t="str">
        <f t="shared" si="9"/>
        <v>S000152Coudray-Bizot Chateau de Beaufort Nuits-Saint-Georges 'Au Bas de Combe'2017</v>
      </c>
      <c r="J151">
        <f t="shared" si="12"/>
        <v>1</v>
      </c>
    </row>
    <row r="152" spans="1:10">
      <c r="A152" t="s">
        <v>387</v>
      </c>
      <c r="B152" t="s">
        <v>388</v>
      </c>
      <c r="C152" t="s">
        <v>114</v>
      </c>
      <c r="D152" t="str">
        <f t="shared" si="10"/>
        <v>S000153Chateau Couhins La Gravette2014</v>
      </c>
      <c r="E152">
        <f t="shared" si="11"/>
        <v>1</v>
      </c>
      <c r="F152" t="s">
        <v>387</v>
      </c>
      <c r="G152" t="s">
        <v>388</v>
      </c>
      <c r="H152" t="s">
        <v>114</v>
      </c>
      <c r="I152" t="str">
        <f t="shared" si="9"/>
        <v>S000153Chateau Couhins La Gravette2014</v>
      </c>
      <c r="J152">
        <f t="shared" si="12"/>
        <v>1</v>
      </c>
    </row>
    <row r="153" spans="1:10">
      <c r="A153" t="s">
        <v>389</v>
      </c>
      <c r="B153" t="s">
        <v>390</v>
      </c>
      <c r="C153" t="s">
        <v>129</v>
      </c>
      <c r="D153" t="str">
        <f t="shared" si="10"/>
        <v>S000154Domaine de Cristia Chateauneuf-du-Pape 'Cuvee Renaissance'2016</v>
      </c>
      <c r="E153">
        <f t="shared" si="11"/>
        <v>1</v>
      </c>
      <c r="F153" t="s">
        <v>389</v>
      </c>
      <c r="G153" t="s">
        <v>390</v>
      </c>
      <c r="H153" t="s">
        <v>129</v>
      </c>
      <c r="I153" t="str">
        <f t="shared" si="9"/>
        <v>S000154Domaine de Cristia Chateauneuf-du-Pape 'Cuvee Renaissance'2016</v>
      </c>
      <c r="J153">
        <f t="shared" si="12"/>
        <v>1</v>
      </c>
    </row>
    <row r="154" spans="1:10">
      <c r="A154" t="s">
        <v>391</v>
      </c>
      <c r="B154" t="s">
        <v>392</v>
      </c>
      <c r="C154" t="s">
        <v>81</v>
      </c>
      <c r="D154" t="str">
        <f t="shared" si="10"/>
        <v>S000155Chateau Ducru-Beaucaillou 'La Croix de Beaucaillou'2019</v>
      </c>
      <c r="E154">
        <f t="shared" si="11"/>
        <v>1</v>
      </c>
      <c r="F154" t="s">
        <v>391</v>
      </c>
      <c r="G154" t="s">
        <v>392</v>
      </c>
      <c r="H154" t="s">
        <v>81</v>
      </c>
      <c r="I154" t="str">
        <f t="shared" si="9"/>
        <v>S000155Chateau Ducru-Beaucaillou 'La Croix de Beaucaillou'2019</v>
      </c>
      <c r="J154">
        <f t="shared" si="12"/>
        <v>1</v>
      </c>
    </row>
    <row r="155" spans="1:10">
      <c r="A155" t="s">
        <v>393</v>
      </c>
      <c r="B155" t="s">
        <v>394</v>
      </c>
      <c r="C155" t="s">
        <v>222</v>
      </c>
      <c r="D155" t="str">
        <f t="shared" si="10"/>
        <v>S000156Domaine d'Eugenie Chassagne-Montrachet 'Les Perclos'2015</v>
      </c>
      <c r="E155">
        <f t="shared" si="11"/>
        <v>1</v>
      </c>
      <c r="F155" t="s">
        <v>393</v>
      </c>
      <c r="G155" t="s">
        <v>394</v>
      </c>
      <c r="H155" t="s">
        <v>222</v>
      </c>
      <c r="I155" t="str">
        <f t="shared" si="9"/>
        <v>S000156Domaine d'Eugenie Chassagne-Montrachet 'Les Perclos'2015</v>
      </c>
      <c r="J155">
        <f t="shared" si="12"/>
        <v>1</v>
      </c>
    </row>
    <row r="156" spans="1:10">
      <c r="A156" t="s">
        <v>395</v>
      </c>
      <c r="B156" t="s">
        <v>396</v>
      </c>
      <c r="C156" t="s">
        <v>81</v>
      </c>
      <c r="D156" t="str">
        <f t="shared" si="10"/>
        <v>S000157Domaine d'Eugenie Vosne-Romanée 'Les Brulees' Premier Cru2019</v>
      </c>
      <c r="E156">
        <f t="shared" si="11"/>
        <v>1</v>
      </c>
      <c r="F156" t="s">
        <v>395</v>
      </c>
      <c r="G156" t="s">
        <v>396</v>
      </c>
      <c r="H156" t="s">
        <v>81</v>
      </c>
      <c r="I156" t="str">
        <f t="shared" si="9"/>
        <v>S000157Domaine d'Eugenie Vosne-Romanée 'Les Brulees' Premier Cru2019</v>
      </c>
      <c r="J156">
        <f t="shared" si="12"/>
        <v>1</v>
      </c>
    </row>
    <row r="157" spans="1:10">
      <c r="A157" t="s">
        <v>397</v>
      </c>
      <c r="B157" t="s">
        <v>398</v>
      </c>
      <c r="C157" t="s">
        <v>137</v>
      </c>
      <c r="D157" t="str">
        <f t="shared" si="10"/>
        <v>S000158Dal Forno Romano 'Vigneto Monte Lodoletta' Valpolicella Superiore DOC2017</v>
      </c>
      <c r="E157">
        <f t="shared" si="11"/>
        <v>1</v>
      </c>
      <c r="F157" t="s">
        <v>397</v>
      </c>
      <c r="G157" t="s">
        <v>398</v>
      </c>
      <c r="H157" t="s">
        <v>137</v>
      </c>
      <c r="I157" t="str">
        <f t="shared" si="9"/>
        <v>S000158Dal Forno Romano 'Vigneto Monte Lodoletta' Valpolicella Superiore DOC2017</v>
      </c>
      <c r="J157">
        <f t="shared" si="12"/>
        <v>1</v>
      </c>
    </row>
    <row r="158" spans="1:10">
      <c r="A158" t="s">
        <v>399</v>
      </c>
      <c r="B158" t="s">
        <v>400</v>
      </c>
      <c r="C158" t="s">
        <v>244</v>
      </c>
      <c r="D158" t="str">
        <f t="shared" si="10"/>
        <v>S000159Domaine Daniel Moine-Hudelot Musigny Grand Cru1993</v>
      </c>
      <c r="E158">
        <f t="shared" si="11"/>
        <v>1</v>
      </c>
      <c r="F158" t="s">
        <v>399</v>
      </c>
      <c r="G158" t="s">
        <v>400</v>
      </c>
      <c r="H158" t="s">
        <v>244</v>
      </c>
      <c r="I158" t="str">
        <f t="shared" si="9"/>
        <v>S000159Domaine Daniel Moine-Hudelot Musigny Grand Cru1993</v>
      </c>
      <c r="J158">
        <f t="shared" si="12"/>
        <v>1</v>
      </c>
    </row>
    <row r="159" spans="1:10">
      <c r="A159" t="s">
        <v>401</v>
      </c>
      <c r="B159" t="s">
        <v>402</v>
      </c>
      <c r="C159" t="s">
        <v>81</v>
      </c>
      <c r="D159" t="str">
        <f t="shared" si="10"/>
        <v>S000160Chateau de Fieuzal Blanc Pessac-Léognan Grand Cru Classé de Graves2019</v>
      </c>
      <c r="E159">
        <f t="shared" si="11"/>
        <v>1</v>
      </c>
      <c r="F159" t="s">
        <v>401</v>
      </c>
      <c r="G159" t="s">
        <v>402</v>
      </c>
      <c r="H159" t="s">
        <v>81</v>
      </c>
      <c r="I159" t="str">
        <f t="shared" si="9"/>
        <v>S000160Chateau de Fieuzal Blanc Pessac-Léognan Grand Cru Classé de Graves2019</v>
      </c>
      <c r="J159">
        <f t="shared" si="12"/>
        <v>1</v>
      </c>
    </row>
    <row r="160" spans="1:10">
      <c r="A160" t="s">
        <v>403</v>
      </c>
      <c r="B160" t="s">
        <v>404</v>
      </c>
      <c r="C160" t="s">
        <v>114</v>
      </c>
      <c r="D160" t="str">
        <f t="shared" si="10"/>
        <v>S000161Domaine de L'Arlot Romanee-Saint-Vivant Grand Cru2014</v>
      </c>
      <c r="E160">
        <f t="shared" si="11"/>
        <v>1</v>
      </c>
      <c r="F160" t="s">
        <v>403</v>
      </c>
      <c r="G160" t="s">
        <v>404</v>
      </c>
      <c r="H160" t="s">
        <v>114</v>
      </c>
      <c r="I160" t="str">
        <f t="shared" si="9"/>
        <v>S000161Domaine de L'Arlot Romanee-Saint-Vivant Grand Cru2014</v>
      </c>
      <c r="J160">
        <f t="shared" si="12"/>
        <v>1</v>
      </c>
    </row>
    <row r="161" spans="1:10">
      <c r="A161" t="s">
        <v>405</v>
      </c>
      <c r="B161" t="s">
        <v>406</v>
      </c>
      <c r="C161" t="s">
        <v>127</v>
      </c>
      <c r="D161" t="str">
        <f t="shared" si="10"/>
        <v>S000162Delas Freres Hermitage 'Domaine des Tourettes' Marquise de la Tourette2009</v>
      </c>
      <c r="E161">
        <f t="shared" si="11"/>
        <v>1</v>
      </c>
      <c r="F161" t="s">
        <v>405</v>
      </c>
      <c r="G161" t="s">
        <v>406</v>
      </c>
      <c r="H161" t="s">
        <v>127</v>
      </c>
      <c r="I161" t="str">
        <f t="shared" si="9"/>
        <v>S000162Delas Freres Hermitage 'Domaine des Tourettes' Marquise de la Tourette2009</v>
      </c>
      <c r="J161">
        <f t="shared" si="12"/>
        <v>1</v>
      </c>
    </row>
    <row r="162" spans="1:10">
      <c r="A162" t="s">
        <v>407</v>
      </c>
      <c r="B162" t="s">
        <v>408</v>
      </c>
      <c r="C162" t="s">
        <v>222</v>
      </c>
      <c r="D162" t="str">
        <f t="shared" si="10"/>
        <v>S000163Domaine Denis Bachelet Gevrey-Chambertin Vieilles Vignes2015</v>
      </c>
      <c r="E162">
        <f t="shared" si="11"/>
        <v>1</v>
      </c>
      <c r="F162" t="s">
        <v>407</v>
      </c>
      <c r="G162" t="s">
        <v>408</v>
      </c>
      <c r="H162" t="s">
        <v>222</v>
      </c>
      <c r="I162" t="str">
        <f t="shared" si="9"/>
        <v>S000163Domaine Denis Bachelet Gevrey-Chambertin Vieilles Vignes2015</v>
      </c>
      <c r="J162">
        <f t="shared" si="12"/>
        <v>1</v>
      </c>
    </row>
    <row r="163" spans="1:10">
      <c r="A163" t="s">
        <v>409</v>
      </c>
      <c r="B163" t="s">
        <v>408</v>
      </c>
      <c r="C163" t="s">
        <v>118</v>
      </c>
      <c r="D163" t="str">
        <f t="shared" si="10"/>
        <v>S000164Domaine Denis Bachelet Gevrey-Chambertin Vieilles Vignes2018</v>
      </c>
      <c r="E163">
        <f t="shared" si="11"/>
        <v>1</v>
      </c>
      <c r="F163" t="s">
        <v>409</v>
      </c>
      <c r="G163" t="s">
        <v>408</v>
      </c>
      <c r="H163" t="s">
        <v>118</v>
      </c>
      <c r="I163" t="str">
        <f t="shared" si="9"/>
        <v>S000164Domaine Denis Bachelet Gevrey-Chambertin Vieilles Vignes2018</v>
      </c>
      <c r="J163">
        <f t="shared" si="12"/>
        <v>1</v>
      </c>
    </row>
    <row r="164" spans="1:10">
      <c r="A164" t="s">
        <v>410</v>
      </c>
      <c r="B164" t="s">
        <v>408</v>
      </c>
      <c r="C164" t="s">
        <v>81</v>
      </c>
      <c r="D164" t="str">
        <f t="shared" si="10"/>
        <v>S000165Domaine Denis Bachelet Gevrey-Chambertin Vieilles Vignes2019</v>
      </c>
      <c r="E164">
        <f t="shared" si="11"/>
        <v>1</v>
      </c>
      <c r="F164" t="s">
        <v>410</v>
      </c>
      <c r="G164" t="s">
        <v>408</v>
      </c>
      <c r="H164" t="s">
        <v>81</v>
      </c>
      <c r="I164" t="str">
        <f t="shared" si="9"/>
        <v>S000165Domaine Denis Bachelet Gevrey-Chambertin Vieilles Vignes2019</v>
      </c>
      <c r="J164">
        <f t="shared" si="12"/>
        <v>1</v>
      </c>
    </row>
    <row r="165" spans="1:10">
      <c r="A165" t="s">
        <v>411</v>
      </c>
      <c r="B165" t="s">
        <v>408</v>
      </c>
      <c r="C165" t="s">
        <v>273</v>
      </c>
      <c r="D165" t="str">
        <f t="shared" si="10"/>
        <v>S000166Domaine Denis Bachelet Gevrey-Chambertin Vieilles Vignes2005</v>
      </c>
      <c r="E165">
        <f t="shared" si="11"/>
        <v>1</v>
      </c>
      <c r="F165" t="s">
        <v>411</v>
      </c>
      <c r="G165" t="s">
        <v>408</v>
      </c>
      <c r="H165" t="s">
        <v>273</v>
      </c>
      <c r="I165" t="str">
        <f t="shared" si="9"/>
        <v>S000166Domaine Denis Bachelet Gevrey-Chambertin Vieilles Vignes2005</v>
      </c>
      <c r="J165">
        <f t="shared" si="12"/>
        <v>1</v>
      </c>
    </row>
    <row r="166" spans="1:10">
      <c r="A166" t="s">
        <v>412</v>
      </c>
      <c r="B166" t="s">
        <v>413</v>
      </c>
      <c r="C166" t="s">
        <v>81</v>
      </c>
      <c r="D166" t="str">
        <f t="shared" si="10"/>
        <v>S000167Domaine Denis Mortet Bourgogne 'Cuvee de Noble Souche' Rouge2019</v>
      </c>
      <c r="E166">
        <f t="shared" si="11"/>
        <v>1</v>
      </c>
      <c r="F166" t="s">
        <v>412</v>
      </c>
      <c r="G166" t="s">
        <v>413</v>
      </c>
      <c r="H166" t="s">
        <v>81</v>
      </c>
      <c r="I166" t="str">
        <f t="shared" si="9"/>
        <v>S000167Domaine Denis Mortet Bourgogne 'Cuvee de Noble Souche' Rouge2019</v>
      </c>
      <c r="J166">
        <f t="shared" si="12"/>
        <v>1</v>
      </c>
    </row>
    <row r="167" spans="1:10">
      <c r="A167" t="s">
        <v>414</v>
      </c>
      <c r="B167" t="s">
        <v>415</v>
      </c>
      <c r="C167" t="s">
        <v>118</v>
      </c>
      <c r="D167" t="str">
        <f t="shared" si="10"/>
        <v>S000168Domaine Denis Mortet Marsannay 'Les Longeroies'2018</v>
      </c>
      <c r="E167">
        <f t="shared" si="11"/>
        <v>1</v>
      </c>
      <c r="F167" t="s">
        <v>414</v>
      </c>
      <c r="G167" t="s">
        <v>415</v>
      </c>
      <c r="H167" t="s">
        <v>118</v>
      </c>
      <c r="I167" t="str">
        <f t="shared" si="9"/>
        <v>S000168Domaine Denis Mortet Marsannay 'Les Longeroies'2018</v>
      </c>
      <c r="J167">
        <f t="shared" si="12"/>
        <v>1</v>
      </c>
    </row>
    <row r="168" spans="1:10">
      <c r="A168" t="s">
        <v>416</v>
      </c>
      <c r="B168" t="s">
        <v>417</v>
      </c>
      <c r="C168" t="s">
        <v>111</v>
      </c>
      <c r="D168" t="str">
        <f t="shared" si="10"/>
        <v>S000169Château Rayas 'Les Tours' Réservé Grenache Blanc2013</v>
      </c>
      <c r="E168">
        <f t="shared" si="11"/>
        <v>1</v>
      </c>
      <c r="F168" t="s">
        <v>416</v>
      </c>
      <c r="G168" t="s">
        <v>417</v>
      </c>
      <c r="H168" t="s">
        <v>111</v>
      </c>
      <c r="I168" t="str">
        <f t="shared" si="9"/>
        <v>S000169Château Rayas 'Les Tours' Réservé Grenache Blanc2013</v>
      </c>
      <c r="J168">
        <f t="shared" si="12"/>
        <v>1</v>
      </c>
    </row>
    <row r="169" spans="1:10">
      <c r="A169" t="s">
        <v>418</v>
      </c>
      <c r="B169" t="s">
        <v>419</v>
      </c>
      <c r="C169" t="s">
        <v>118</v>
      </c>
      <c r="D169" t="str">
        <f t="shared" si="10"/>
        <v>S000170Didier Delagrange Volnay 'Santenots' Premier Cru2018</v>
      </c>
      <c r="E169">
        <f t="shared" si="11"/>
        <v>1</v>
      </c>
      <c r="F169" t="s">
        <v>418</v>
      </c>
      <c r="G169" t="s">
        <v>419</v>
      </c>
      <c r="H169" t="s">
        <v>118</v>
      </c>
      <c r="I169" t="str">
        <f t="shared" si="9"/>
        <v>S000170Didier Delagrange Volnay 'Santenots' Premier Cru2018</v>
      </c>
      <c r="J169">
        <f t="shared" si="12"/>
        <v>1</v>
      </c>
    </row>
    <row r="170" spans="1:10">
      <c r="A170" t="s">
        <v>420</v>
      </c>
      <c r="B170" t="s">
        <v>421</v>
      </c>
      <c r="C170" t="s">
        <v>111</v>
      </c>
      <c r="D170" t="str">
        <f t="shared" si="10"/>
        <v>S000171Dom Pérignon Brut2013</v>
      </c>
      <c r="E170">
        <f t="shared" si="11"/>
        <v>1</v>
      </c>
      <c r="F170" t="s">
        <v>420</v>
      </c>
      <c r="G170" t="s">
        <v>421</v>
      </c>
      <c r="H170" t="s">
        <v>111</v>
      </c>
      <c r="I170" t="str">
        <f t="shared" si="9"/>
        <v>S000171Dom Pérignon Brut2013</v>
      </c>
      <c r="J170">
        <f t="shared" si="12"/>
        <v>1</v>
      </c>
    </row>
    <row r="171" spans="1:10">
      <c r="A171" t="s">
        <v>422</v>
      </c>
      <c r="B171" t="s">
        <v>421</v>
      </c>
      <c r="C171" t="s">
        <v>222</v>
      </c>
      <c r="D171" t="str">
        <f t="shared" si="10"/>
        <v>S000172Dom Pérignon Brut2015</v>
      </c>
      <c r="E171">
        <f t="shared" si="11"/>
        <v>1</v>
      </c>
      <c r="F171" t="s">
        <v>422</v>
      </c>
      <c r="G171" t="s">
        <v>421</v>
      </c>
      <c r="H171" t="s">
        <v>222</v>
      </c>
      <c r="I171" t="str">
        <f t="shared" si="9"/>
        <v>S000172Dom Pérignon Brut2015</v>
      </c>
      <c r="J171">
        <f t="shared" si="12"/>
        <v>1</v>
      </c>
    </row>
    <row r="172" spans="1:10">
      <c r="A172" t="s">
        <v>423</v>
      </c>
      <c r="B172" t="s">
        <v>424</v>
      </c>
      <c r="C172" t="s">
        <v>425</v>
      </c>
      <c r="D172" t="str">
        <f t="shared" si="10"/>
        <v>S000173Dom Pérignon 'P2 Plenitude' Brut2002</v>
      </c>
      <c r="E172">
        <f t="shared" si="11"/>
        <v>1</v>
      </c>
      <c r="F172" t="s">
        <v>423</v>
      </c>
      <c r="G172" t="s">
        <v>424</v>
      </c>
      <c r="H172" t="s">
        <v>425</v>
      </c>
      <c r="I172" t="str">
        <f t="shared" si="9"/>
        <v>S000173Dom Pérignon 'P2 Plenitude' Brut2002</v>
      </c>
      <c r="J172">
        <f t="shared" si="12"/>
        <v>1</v>
      </c>
    </row>
    <row r="173" spans="1:10">
      <c r="A173" t="s">
        <v>426</v>
      </c>
      <c r="B173" t="s">
        <v>427</v>
      </c>
      <c r="C173" t="s">
        <v>127</v>
      </c>
      <c r="D173" t="str">
        <f t="shared" si="10"/>
        <v>S000174Domaine Allary Haut-Brion2009</v>
      </c>
      <c r="E173">
        <f t="shared" si="11"/>
        <v>1</v>
      </c>
      <c r="F173" t="s">
        <v>426</v>
      </c>
      <c r="G173" t="s">
        <v>427</v>
      </c>
      <c r="H173" t="s">
        <v>127</v>
      </c>
      <c r="I173" t="str">
        <f t="shared" si="9"/>
        <v>S000174Domaine Allary Haut-Brion2009</v>
      </c>
      <c r="J173">
        <f t="shared" si="12"/>
        <v>1</v>
      </c>
    </row>
    <row r="174" spans="1:10">
      <c r="A174" t="s">
        <v>428</v>
      </c>
      <c r="B174" t="s">
        <v>427</v>
      </c>
      <c r="C174" t="s">
        <v>139</v>
      </c>
      <c r="D174" t="str">
        <f t="shared" si="10"/>
        <v>S000175Domaine Allary Haut-Brion2010</v>
      </c>
      <c r="E174">
        <f t="shared" si="11"/>
        <v>1</v>
      </c>
      <c r="F174" t="s">
        <v>428</v>
      </c>
      <c r="G174" t="s">
        <v>427</v>
      </c>
      <c r="H174" t="s">
        <v>139</v>
      </c>
      <c r="I174" t="str">
        <f t="shared" si="9"/>
        <v>S000175Domaine Allary Haut-Brion2010</v>
      </c>
      <c r="J174">
        <f t="shared" si="12"/>
        <v>1</v>
      </c>
    </row>
    <row r="175" spans="1:10">
      <c r="A175" t="s">
        <v>429</v>
      </c>
      <c r="B175" t="s">
        <v>430</v>
      </c>
      <c r="C175" t="s">
        <v>137</v>
      </c>
      <c r="D175" t="str">
        <f t="shared" si="10"/>
        <v>S000176Domaine Chapel Juliénas2017</v>
      </c>
      <c r="E175">
        <f t="shared" si="11"/>
        <v>1</v>
      </c>
      <c r="F175" t="s">
        <v>429</v>
      </c>
      <c r="G175" t="s">
        <v>430</v>
      </c>
      <c r="H175" t="s">
        <v>137</v>
      </c>
      <c r="I175" t="str">
        <f t="shared" si="9"/>
        <v>S000176Domaine Chapel Juliénas2017</v>
      </c>
      <c r="J175">
        <f t="shared" si="12"/>
        <v>1</v>
      </c>
    </row>
    <row r="176" spans="1:10">
      <c r="A176" t="s">
        <v>431</v>
      </c>
      <c r="B176" t="s">
        <v>432</v>
      </c>
      <c r="C176" t="s">
        <v>139</v>
      </c>
      <c r="D176" t="str">
        <f t="shared" si="10"/>
        <v>S000177Domaine de Baron'Arques Limoux2010</v>
      </c>
      <c r="E176">
        <f t="shared" si="11"/>
        <v>1</v>
      </c>
      <c r="F176" t="s">
        <v>431</v>
      </c>
      <c r="G176" t="s">
        <v>432</v>
      </c>
      <c r="H176" t="s">
        <v>139</v>
      </c>
      <c r="I176" t="str">
        <f t="shared" si="9"/>
        <v>S000177Domaine de Baron'Arques Limoux2010</v>
      </c>
      <c r="J176">
        <f t="shared" si="12"/>
        <v>1</v>
      </c>
    </row>
    <row r="177" spans="1:10">
      <c r="A177" t="s">
        <v>433</v>
      </c>
      <c r="B177" t="s">
        <v>434</v>
      </c>
      <c r="C177" t="s">
        <v>133</v>
      </c>
      <c r="D177" t="str">
        <f t="shared" si="10"/>
        <v>S000178Domaine des Tours (Rayas) Vin de Pays de Vaucluse Merlot Syrah2007</v>
      </c>
      <c r="E177">
        <f t="shared" si="11"/>
        <v>1</v>
      </c>
      <c r="F177" t="s">
        <v>433</v>
      </c>
      <c r="G177" t="s">
        <v>434</v>
      </c>
      <c r="H177" t="s">
        <v>133</v>
      </c>
      <c r="I177" t="str">
        <f t="shared" si="9"/>
        <v>S000178Domaine des Tours (Rayas) Vin de Pays de Vaucluse Merlot Syrah2007</v>
      </c>
      <c r="J177">
        <f t="shared" si="12"/>
        <v>1</v>
      </c>
    </row>
    <row r="178" spans="1:10">
      <c r="A178" t="s">
        <v>435</v>
      </c>
      <c r="B178" t="s">
        <v>436</v>
      </c>
      <c r="C178" t="s">
        <v>133</v>
      </c>
      <c r="D178" t="str">
        <f t="shared" si="10"/>
        <v>S000179Domaine des Tours (Rayas) Vin de Pays de Vaucluse Merlot2007</v>
      </c>
      <c r="E178">
        <f t="shared" si="11"/>
        <v>1</v>
      </c>
      <c r="F178" t="s">
        <v>435</v>
      </c>
      <c r="G178" t="s">
        <v>436</v>
      </c>
      <c r="H178" t="s">
        <v>133</v>
      </c>
      <c r="I178" t="str">
        <f t="shared" si="9"/>
        <v>S000179Domaine des Tours (Rayas) Vin de Pays de Vaucluse Merlot2007</v>
      </c>
      <c r="J178">
        <f t="shared" si="12"/>
        <v>1</v>
      </c>
    </row>
    <row r="179" spans="1:10">
      <c r="A179" t="s">
        <v>437</v>
      </c>
      <c r="B179" t="s">
        <v>438</v>
      </c>
      <c r="C179" t="s">
        <v>81</v>
      </c>
      <c r="D179" t="str">
        <f t="shared" si="10"/>
        <v>S000180Domaine des Tours (Rayas) Vin de Pays de Vaucluse Rouge2019</v>
      </c>
      <c r="E179">
        <f t="shared" si="11"/>
        <v>1</v>
      </c>
      <c r="F179" t="s">
        <v>437</v>
      </c>
      <c r="G179" t="s">
        <v>438</v>
      </c>
      <c r="H179" t="s">
        <v>81</v>
      </c>
      <c r="I179" t="str">
        <f t="shared" si="9"/>
        <v>S000180Domaine des Tours (Rayas) Vin de Pays de Vaucluse Rouge2019</v>
      </c>
      <c r="J179">
        <f t="shared" si="12"/>
        <v>1</v>
      </c>
    </row>
    <row r="180" spans="1:10">
      <c r="A180" t="s">
        <v>439</v>
      </c>
      <c r="B180" t="s">
        <v>438</v>
      </c>
      <c r="C180" t="s">
        <v>172</v>
      </c>
      <c r="D180" t="str">
        <f t="shared" si="10"/>
        <v>S000181Domaine des Tours (Rayas) Vin de Pays de Vaucluse Rouge2012</v>
      </c>
      <c r="E180">
        <f t="shared" si="11"/>
        <v>1</v>
      </c>
      <c r="F180" t="s">
        <v>439</v>
      </c>
      <c r="G180" t="s">
        <v>438</v>
      </c>
      <c r="H180" t="s">
        <v>172</v>
      </c>
      <c r="I180" t="str">
        <f t="shared" si="9"/>
        <v>S000181Domaine des Tours (Rayas) Vin de Pays de Vaucluse Rouge2012</v>
      </c>
      <c r="J180">
        <f t="shared" si="12"/>
        <v>1</v>
      </c>
    </row>
    <row r="181" spans="1:10">
      <c r="A181" t="s">
        <v>440</v>
      </c>
      <c r="B181" t="s">
        <v>438</v>
      </c>
      <c r="C181" t="s">
        <v>222</v>
      </c>
      <c r="D181" t="str">
        <f t="shared" si="10"/>
        <v>S000182Domaine des Tours (Rayas) Vin de Pays de Vaucluse Rouge2015</v>
      </c>
      <c r="E181">
        <f t="shared" si="11"/>
        <v>1</v>
      </c>
      <c r="F181" t="s">
        <v>440</v>
      </c>
      <c r="G181" t="s">
        <v>438</v>
      </c>
      <c r="H181" t="s">
        <v>222</v>
      </c>
      <c r="I181" t="str">
        <f t="shared" si="9"/>
        <v>S000182Domaine des Tours (Rayas) Vin de Pays de Vaucluse Rouge2015</v>
      </c>
      <c r="J181">
        <f t="shared" si="12"/>
        <v>1</v>
      </c>
    </row>
    <row r="182" spans="1:10">
      <c r="A182" t="s">
        <v>441</v>
      </c>
      <c r="B182" t="s">
        <v>438</v>
      </c>
      <c r="C182" t="s">
        <v>129</v>
      </c>
      <c r="D182" t="str">
        <f t="shared" si="10"/>
        <v>S000183Domaine des Tours (Rayas) Vin de Pays de Vaucluse Rouge2016</v>
      </c>
      <c r="E182">
        <f t="shared" si="11"/>
        <v>1</v>
      </c>
      <c r="F182" t="s">
        <v>441</v>
      </c>
      <c r="G182" t="s">
        <v>438</v>
      </c>
      <c r="H182" t="s">
        <v>129</v>
      </c>
      <c r="I182" t="str">
        <f t="shared" si="9"/>
        <v>S000183Domaine des Tours (Rayas) Vin de Pays de Vaucluse Rouge2016</v>
      </c>
      <c r="J182">
        <f t="shared" si="12"/>
        <v>1</v>
      </c>
    </row>
    <row r="183" spans="1:10">
      <c r="A183" t="s">
        <v>442</v>
      </c>
      <c r="B183" t="s">
        <v>438</v>
      </c>
      <c r="C183" t="s">
        <v>137</v>
      </c>
      <c r="D183" t="str">
        <f t="shared" si="10"/>
        <v>S000184Domaine des Tours (Rayas) Vin de Pays de Vaucluse Rouge2017</v>
      </c>
      <c r="E183">
        <f t="shared" si="11"/>
        <v>1</v>
      </c>
      <c r="F183" t="s">
        <v>442</v>
      </c>
      <c r="G183" t="s">
        <v>438</v>
      </c>
      <c r="H183" t="s">
        <v>137</v>
      </c>
      <c r="I183" t="str">
        <f t="shared" si="9"/>
        <v>S000184Domaine des Tours (Rayas) Vin de Pays de Vaucluse Rouge2017</v>
      </c>
      <c r="J183">
        <f t="shared" si="12"/>
        <v>1</v>
      </c>
    </row>
    <row r="184" spans="1:10">
      <c r="A184" t="s">
        <v>443</v>
      </c>
      <c r="B184" t="s">
        <v>438</v>
      </c>
      <c r="C184" t="s">
        <v>118</v>
      </c>
      <c r="D184" t="str">
        <f t="shared" si="10"/>
        <v>S000185Domaine des Tours (Rayas) Vin de Pays de Vaucluse Rouge2018</v>
      </c>
      <c r="E184">
        <f t="shared" si="11"/>
        <v>1</v>
      </c>
      <c r="F184" t="s">
        <v>443</v>
      </c>
      <c r="G184" t="s">
        <v>438</v>
      </c>
      <c r="H184" t="s">
        <v>118</v>
      </c>
      <c r="I184" t="str">
        <f t="shared" si="9"/>
        <v>S000185Domaine des Tours (Rayas) Vin de Pays de Vaucluse Rouge2018</v>
      </c>
      <c r="J184">
        <f t="shared" si="12"/>
        <v>1</v>
      </c>
    </row>
    <row r="185" spans="1:10">
      <c r="A185" t="s">
        <v>444</v>
      </c>
      <c r="B185" t="s">
        <v>445</v>
      </c>
      <c r="C185" t="s">
        <v>56</v>
      </c>
      <c r="D185" t="str">
        <f t="shared" si="10"/>
        <v>S000186Domaine Taupenot-Merme Chambolle-Musigny 'La Combe d'Orveau' Premier Cru2021</v>
      </c>
      <c r="E185">
        <f t="shared" si="11"/>
        <v>1</v>
      </c>
      <c r="F185" t="s">
        <v>444</v>
      </c>
      <c r="G185" t="s">
        <v>445</v>
      </c>
      <c r="H185" t="s">
        <v>56</v>
      </c>
      <c r="I185" t="str">
        <f t="shared" si="9"/>
        <v>S000186Domaine Taupenot-Merme Chambolle-Musigny 'La Combe d'Orveau' Premier Cru2021</v>
      </c>
      <c r="J185">
        <f t="shared" si="12"/>
        <v>1</v>
      </c>
    </row>
    <row r="186" spans="1:10">
      <c r="A186" t="s">
        <v>446</v>
      </c>
      <c r="B186" t="s">
        <v>447</v>
      </c>
      <c r="C186" t="s">
        <v>127</v>
      </c>
      <c r="D186" t="str">
        <f t="shared" si="10"/>
        <v>S000187Domaine Trapet Pere et Fils Chapelle-Chambertin Grand Cru2009</v>
      </c>
      <c r="E186">
        <f t="shared" si="11"/>
        <v>1</v>
      </c>
      <c r="F186" t="s">
        <v>446</v>
      </c>
      <c r="G186" t="s">
        <v>447</v>
      </c>
      <c r="H186" t="s">
        <v>127</v>
      </c>
      <c r="I186" t="str">
        <f t="shared" si="9"/>
        <v>S000187Domaine Trapet Pere et Fils Chapelle-Chambertin Grand Cru2009</v>
      </c>
      <c r="J186">
        <f t="shared" si="12"/>
        <v>1</v>
      </c>
    </row>
    <row r="187" spans="1:10">
      <c r="A187" t="s">
        <v>448</v>
      </c>
      <c r="B187" t="s">
        <v>449</v>
      </c>
      <c r="C187" t="s">
        <v>111</v>
      </c>
      <c r="D187" t="str">
        <f t="shared" si="10"/>
        <v>S000188Dominique Laurent Clos de la Roche 'Cuvée Vieilles Vignes Intra Muros' Grand Cru2013</v>
      </c>
      <c r="E187">
        <f t="shared" si="11"/>
        <v>1</v>
      </c>
      <c r="F187" t="s">
        <v>448</v>
      </c>
      <c r="G187" t="s">
        <v>449</v>
      </c>
      <c r="H187" t="s">
        <v>111</v>
      </c>
      <c r="I187" t="str">
        <f t="shared" si="9"/>
        <v>S000188Dominique Laurent Clos de la Roche 'Cuvée Vieilles Vignes Intra Muros' Grand Cru2013</v>
      </c>
      <c r="J187">
        <f t="shared" si="12"/>
        <v>1</v>
      </c>
    </row>
    <row r="188" spans="1:10">
      <c r="A188" t="s">
        <v>450</v>
      </c>
      <c r="B188" t="s">
        <v>449</v>
      </c>
      <c r="C188" t="s">
        <v>125</v>
      </c>
      <c r="D188" t="str">
        <f t="shared" si="10"/>
        <v>S000189Dominique Laurent Clos de la Roche 'Cuvée Vieilles Vignes Intra Muros' Grand Cru2008</v>
      </c>
      <c r="E188">
        <f t="shared" si="11"/>
        <v>1</v>
      </c>
      <c r="F188" t="s">
        <v>450</v>
      </c>
      <c r="G188" t="s">
        <v>449</v>
      </c>
      <c r="H188" t="s">
        <v>125</v>
      </c>
      <c r="I188" t="str">
        <f t="shared" si="9"/>
        <v>S000189Dominique Laurent Clos de la Roche 'Cuvée Vieilles Vignes Intra Muros' Grand Cru2008</v>
      </c>
      <c r="J188">
        <f t="shared" si="12"/>
        <v>1</v>
      </c>
    </row>
    <row r="189" spans="1:10">
      <c r="A189" t="s">
        <v>451</v>
      </c>
      <c r="B189" t="s">
        <v>452</v>
      </c>
      <c r="C189" t="s">
        <v>114</v>
      </c>
      <c r="D189" t="str">
        <f t="shared" si="10"/>
        <v>S000190Dominique Laurent Grands-Échézeaux 'Grande Cuvée Vieilles Vignes' Grand Cru2014</v>
      </c>
      <c r="E189">
        <f t="shared" si="11"/>
        <v>1</v>
      </c>
      <c r="F189" t="s">
        <v>451</v>
      </c>
      <c r="G189" t="s">
        <v>452</v>
      </c>
      <c r="H189" t="s">
        <v>114</v>
      </c>
      <c r="I189" t="str">
        <f t="shared" si="9"/>
        <v>S000190Dominique Laurent Grands-Échézeaux 'Grande Cuvée Vieilles Vignes' Grand Cru2014</v>
      </c>
      <c r="J189">
        <f t="shared" si="12"/>
        <v>1</v>
      </c>
    </row>
    <row r="190" spans="1:10">
      <c r="A190" t="s">
        <v>453</v>
      </c>
      <c r="B190" t="s">
        <v>454</v>
      </c>
      <c r="C190" t="s">
        <v>125</v>
      </c>
      <c r="D190" t="str">
        <f t="shared" si="10"/>
        <v>S000191Domaine de la Romanée-Conti Montrachet Grand Cru2008</v>
      </c>
      <c r="E190">
        <f t="shared" si="11"/>
        <v>1</v>
      </c>
      <c r="F190" t="s">
        <v>453</v>
      </c>
      <c r="G190" t="s">
        <v>454</v>
      </c>
      <c r="H190">
        <v>2008</v>
      </c>
      <c r="I190" t="str">
        <f t="shared" si="9"/>
        <v>S000191Domaine de la Romanée-Conti Montrachet Grand Cru2008</v>
      </c>
      <c r="J190">
        <f t="shared" si="12"/>
        <v>1</v>
      </c>
    </row>
    <row r="191" spans="1:10">
      <c r="A191" t="s">
        <v>455</v>
      </c>
      <c r="B191" t="s">
        <v>456</v>
      </c>
      <c r="C191" t="s">
        <v>178</v>
      </c>
      <c r="D191" t="str">
        <f t="shared" si="10"/>
        <v>S000192Domaine Drouhin-Laroze Bonnes-Mares Grand Cru2003</v>
      </c>
      <c r="E191">
        <f t="shared" si="11"/>
        <v>1</v>
      </c>
      <c r="F191" t="s">
        <v>455</v>
      </c>
      <c r="G191" t="s">
        <v>456</v>
      </c>
      <c r="H191" t="s">
        <v>178</v>
      </c>
      <c r="I191" t="str">
        <f t="shared" si="9"/>
        <v>S000192Domaine Drouhin-Laroze Bonnes-Mares Grand Cru2003</v>
      </c>
      <c r="J191">
        <f t="shared" si="12"/>
        <v>1</v>
      </c>
    </row>
    <row r="192" spans="1:10">
      <c r="A192" t="s">
        <v>457</v>
      </c>
      <c r="B192" t="s">
        <v>458</v>
      </c>
      <c r="C192" t="s">
        <v>127</v>
      </c>
      <c r="D192" t="str">
        <f t="shared" si="10"/>
        <v>S000193Domaine Drouhin-Laroze Chambertin Clos-de-Beze Grand Cru2009</v>
      </c>
      <c r="E192">
        <f t="shared" si="11"/>
        <v>1</v>
      </c>
      <c r="F192" t="s">
        <v>457</v>
      </c>
      <c r="G192" t="s">
        <v>458</v>
      </c>
      <c r="H192" t="s">
        <v>127</v>
      </c>
      <c r="I192" t="str">
        <f t="shared" si="9"/>
        <v>S000193Domaine Drouhin-Laroze Chambertin Clos-de-Beze Grand Cru2009</v>
      </c>
      <c r="J192">
        <f t="shared" si="12"/>
        <v>1</v>
      </c>
    </row>
    <row r="193" spans="1:10">
      <c r="A193" t="s">
        <v>459</v>
      </c>
      <c r="B193" t="s">
        <v>456</v>
      </c>
      <c r="C193" t="s">
        <v>127</v>
      </c>
      <c r="D193" t="str">
        <f t="shared" si="10"/>
        <v>S000194Domaine Drouhin-Laroze Bonnes-Mares Grand Cru2009</v>
      </c>
      <c r="E193">
        <f t="shared" si="11"/>
        <v>1</v>
      </c>
      <c r="F193" t="s">
        <v>459</v>
      </c>
      <c r="G193" t="s">
        <v>456</v>
      </c>
      <c r="H193" t="s">
        <v>127</v>
      </c>
      <c r="I193" t="str">
        <f t="shared" ref="I193:I256" si="13">F193&amp;G193&amp;H193</f>
        <v>S000194Domaine Drouhin-Laroze Bonnes-Mares Grand Cru2009</v>
      </c>
      <c r="J193">
        <f t="shared" si="12"/>
        <v>1</v>
      </c>
    </row>
    <row r="194" spans="1:10">
      <c r="A194" t="s">
        <v>460</v>
      </c>
      <c r="B194" t="s">
        <v>456</v>
      </c>
      <c r="C194" t="s">
        <v>222</v>
      </c>
      <c r="D194" t="str">
        <f t="shared" si="10"/>
        <v>S000195Domaine Drouhin-Laroze Bonnes-Mares Grand Cru2015</v>
      </c>
      <c r="E194">
        <f t="shared" si="11"/>
        <v>1</v>
      </c>
      <c r="F194" t="s">
        <v>460</v>
      </c>
      <c r="G194" t="s">
        <v>456</v>
      </c>
      <c r="H194" t="s">
        <v>222</v>
      </c>
      <c r="I194" t="str">
        <f t="shared" si="13"/>
        <v>S000195Domaine Drouhin-Laroze Bonnes-Mares Grand Cru2015</v>
      </c>
      <c r="J194">
        <f t="shared" si="12"/>
        <v>1</v>
      </c>
    </row>
    <row r="195" spans="1:10">
      <c r="A195" t="s">
        <v>461</v>
      </c>
      <c r="B195" t="s">
        <v>462</v>
      </c>
      <c r="C195" t="s">
        <v>127</v>
      </c>
      <c r="D195" t="str">
        <f t="shared" ref="D195:D258" si="14">A195&amp;B195&amp;C195</f>
        <v>S000196Domaine Drouhin-Laroze Gevrey-Chambertin 'Au Closeau' Premier Cru2009</v>
      </c>
      <c r="E195">
        <f t="shared" ref="E195:E258" si="15">IF(A195=F195,1,0)</f>
        <v>1</v>
      </c>
      <c r="F195" t="s">
        <v>461</v>
      </c>
      <c r="G195" t="s">
        <v>462</v>
      </c>
      <c r="H195" t="s">
        <v>127</v>
      </c>
      <c r="I195" t="str">
        <f t="shared" si="13"/>
        <v>S000196Domaine Drouhin-Laroze Gevrey-Chambertin 'Au Closeau' Premier Cru2009</v>
      </c>
      <c r="J195">
        <f t="shared" ref="J195:J258" si="16">IF(D195=I195,1,0)</f>
        <v>1</v>
      </c>
    </row>
    <row r="196" spans="1:10">
      <c r="A196" t="s">
        <v>463</v>
      </c>
      <c r="B196" t="s">
        <v>464</v>
      </c>
      <c r="C196" t="s">
        <v>127</v>
      </c>
      <c r="D196" t="str">
        <f t="shared" si="14"/>
        <v>S000197Domaine Dugat-Py Gevrey-Chambertin Vieilles Vignes2009</v>
      </c>
      <c r="E196">
        <f t="shared" si="15"/>
        <v>1</v>
      </c>
      <c r="F196" t="s">
        <v>463</v>
      </c>
      <c r="G196" t="s">
        <v>464</v>
      </c>
      <c r="H196" t="s">
        <v>127</v>
      </c>
      <c r="I196" t="str">
        <f t="shared" si="13"/>
        <v>S000197Domaine Dugat-Py Gevrey-Chambertin Vieilles Vignes2009</v>
      </c>
      <c r="J196">
        <f t="shared" si="16"/>
        <v>1</v>
      </c>
    </row>
    <row r="197" spans="1:10">
      <c r="A197" t="s">
        <v>465</v>
      </c>
      <c r="B197" t="s">
        <v>466</v>
      </c>
      <c r="C197" t="s">
        <v>133</v>
      </c>
      <c r="D197" t="str">
        <f t="shared" si="14"/>
        <v>S000198Domaine Dugat-Py Gevrey-Chambertin 'Petite Chapelle' Premier Cru2007</v>
      </c>
      <c r="E197">
        <f t="shared" si="15"/>
        <v>1</v>
      </c>
      <c r="F197" t="s">
        <v>465</v>
      </c>
      <c r="G197" t="s">
        <v>466</v>
      </c>
      <c r="H197" t="s">
        <v>133</v>
      </c>
      <c r="I197" t="str">
        <f t="shared" si="13"/>
        <v>S000198Domaine Dugat-Py Gevrey-Chambertin 'Petite Chapelle' Premier Cru2007</v>
      </c>
      <c r="J197">
        <f t="shared" si="16"/>
        <v>1</v>
      </c>
    </row>
    <row r="198" spans="1:10">
      <c r="A198" t="s">
        <v>467</v>
      </c>
      <c r="B198" t="s">
        <v>468</v>
      </c>
      <c r="C198" t="s">
        <v>222</v>
      </c>
      <c r="D198" t="str">
        <f t="shared" si="14"/>
        <v>S000199Domaine Dujac Morey-Saint-Denis Premier Cru2015</v>
      </c>
      <c r="E198">
        <f t="shared" si="15"/>
        <v>1</v>
      </c>
      <c r="F198" t="s">
        <v>467</v>
      </c>
      <c r="G198" t="s">
        <v>468</v>
      </c>
      <c r="H198" t="s">
        <v>222</v>
      </c>
      <c r="I198" t="str">
        <f t="shared" si="13"/>
        <v>S000199Domaine Dujac Morey-Saint-Denis Premier Cru2015</v>
      </c>
      <c r="J198">
        <f t="shared" si="16"/>
        <v>1</v>
      </c>
    </row>
    <row r="199" spans="1:10">
      <c r="A199" t="s">
        <v>469</v>
      </c>
      <c r="B199" t="s">
        <v>470</v>
      </c>
      <c r="C199" t="s">
        <v>114</v>
      </c>
      <c r="D199" t="str">
        <f t="shared" si="14"/>
        <v>S000200Domaine Dujac Puligny-Montrachet 'Les Folatieres' Premier Cru2014</v>
      </c>
      <c r="E199">
        <f t="shared" si="15"/>
        <v>1</v>
      </c>
      <c r="F199" t="s">
        <v>469</v>
      </c>
      <c r="G199" t="s">
        <v>470</v>
      </c>
      <c r="H199" t="s">
        <v>114</v>
      </c>
      <c r="I199" t="str">
        <f t="shared" si="13"/>
        <v>S000200Domaine Dujac Puligny-Montrachet 'Les Folatieres' Premier Cru2014</v>
      </c>
      <c r="J199">
        <f t="shared" si="16"/>
        <v>1</v>
      </c>
    </row>
    <row r="200" spans="1:10">
      <c r="A200" t="s">
        <v>471</v>
      </c>
      <c r="B200" t="s">
        <v>472</v>
      </c>
      <c r="C200" t="s">
        <v>144</v>
      </c>
      <c r="D200" t="str">
        <f t="shared" si="14"/>
        <v>S000201Dumangin J. Fils 'L' Extra Brut' Premier CruNV</v>
      </c>
      <c r="E200">
        <f t="shared" si="15"/>
        <v>1</v>
      </c>
      <c r="F200" t="s">
        <v>471</v>
      </c>
      <c r="G200" t="s">
        <v>472</v>
      </c>
      <c r="H200" t="s">
        <v>144</v>
      </c>
      <c r="I200" t="str">
        <f t="shared" si="13"/>
        <v>S000201Dumangin J. Fils 'L' Extra Brut' Premier CruNV</v>
      </c>
      <c r="J200">
        <f t="shared" si="16"/>
        <v>1</v>
      </c>
    </row>
    <row r="201" spans="1:10">
      <c r="A201" t="s">
        <v>473</v>
      </c>
      <c r="B201" t="s">
        <v>474</v>
      </c>
      <c r="C201" t="s">
        <v>346</v>
      </c>
      <c r="D201" t="str">
        <f t="shared" si="14"/>
        <v>S000202Dumangin J. Fils 'Le Vintage' Premier Cru Extra Brut2004</v>
      </c>
      <c r="E201">
        <f t="shared" si="15"/>
        <v>1</v>
      </c>
      <c r="F201" t="s">
        <v>473</v>
      </c>
      <c r="G201" t="s">
        <v>474</v>
      </c>
      <c r="H201" t="s">
        <v>346</v>
      </c>
      <c r="I201" t="str">
        <f t="shared" si="13"/>
        <v>S000202Dumangin J. Fils 'Le Vintage' Premier Cru Extra Brut2004</v>
      </c>
      <c r="J201">
        <f t="shared" si="16"/>
        <v>1</v>
      </c>
    </row>
    <row r="202" spans="1:10">
      <c r="A202" t="s">
        <v>475</v>
      </c>
      <c r="B202" t="s">
        <v>476</v>
      </c>
      <c r="C202" t="s">
        <v>30</v>
      </c>
      <c r="D202" t="str">
        <f t="shared" si="14"/>
        <v>S000203Domaine Edouard Confuron Gevrey-Chambertin 'Les Seuvrees'2022</v>
      </c>
      <c r="E202">
        <f t="shared" si="15"/>
        <v>1</v>
      </c>
      <c r="F202" t="s">
        <v>475</v>
      </c>
      <c r="G202" t="s">
        <v>476</v>
      </c>
      <c r="H202" t="s">
        <v>30</v>
      </c>
      <c r="I202" t="str">
        <f t="shared" si="13"/>
        <v>S000203Domaine Edouard Confuron Gevrey-Chambertin 'Les Seuvrees'2022</v>
      </c>
      <c r="J202">
        <f t="shared" si="16"/>
        <v>1</v>
      </c>
    </row>
    <row r="203" spans="1:10">
      <c r="A203" t="s">
        <v>477</v>
      </c>
      <c r="B203" t="s">
        <v>478</v>
      </c>
      <c r="C203" t="s">
        <v>30</v>
      </c>
      <c r="D203" t="str">
        <f t="shared" si="14"/>
        <v>S000204Domaine Edouard Confuron Nuits-Saint-Georges 'Aux Allots'2022</v>
      </c>
      <c r="E203">
        <f t="shared" si="15"/>
        <v>1</v>
      </c>
      <c r="F203" t="s">
        <v>477</v>
      </c>
      <c r="G203" t="s">
        <v>478</v>
      </c>
      <c r="H203" t="s">
        <v>30</v>
      </c>
      <c r="I203" t="str">
        <f t="shared" si="13"/>
        <v>S000204Domaine Edouard Confuron Nuits-Saint-Georges 'Aux Allots'2022</v>
      </c>
      <c r="J203">
        <f t="shared" si="16"/>
        <v>1</v>
      </c>
    </row>
    <row r="204" spans="1:10">
      <c r="A204" t="s">
        <v>479</v>
      </c>
      <c r="B204" t="s">
        <v>480</v>
      </c>
      <c r="C204" t="s">
        <v>30</v>
      </c>
      <c r="D204" t="str">
        <f t="shared" si="14"/>
        <v>S000205Domaine Edouard Confuron Vosne-Romanée 'Le Pre de la Folie'2022</v>
      </c>
      <c r="E204">
        <f t="shared" si="15"/>
        <v>1</v>
      </c>
      <c r="F204" t="s">
        <v>479</v>
      </c>
      <c r="G204" t="s">
        <v>480</v>
      </c>
      <c r="H204" t="s">
        <v>30</v>
      </c>
      <c r="I204" t="str">
        <f t="shared" si="13"/>
        <v>S000205Domaine Edouard Confuron Vosne-Romanée 'Le Pre de la Folie'2022</v>
      </c>
      <c r="J204">
        <f t="shared" si="16"/>
        <v>1</v>
      </c>
    </row>
    <row r="205" spans="1:10">
      <c r="A205" t="s">
        <v>481</v>
      </c>
      <c r="B205" t="s">
        <v>482</v>
      </c>
      <c r="C205" t="s">
        <v>30</v>
      </c>
      <c r="D205" t="str">
        <f t="shared" si="14"/>
        <v>S000206Domaine Edouard Confuron Vosne-Romanée 'Les Hautes Maizieres'2022</v>
      </c>
      <c r="E205">
        <f t="shared" si="15"/>
        <v>1</v>
      </c>
      <c r="F205" t="s">
        <v>481</v>
      </c>
      <c r="G205" t="s">
        <v>482</v>
      </c>
      <c r="H205" t="s">
        <v>30</v>
      </c>
      <c r="I205" t="str">
        <f t="shared" si="13"/>
        <v>S000206Domaine Edouard Confuron Vosne-Romanée 'Les Hautes Maizieres'2022</v>
      </c>
      <c r="J205">
        <f t="shared" si="16"/>
        <v>1</v>
      </c>
    </row>
    <row r="206" spans="1:10">
      <c r="A206" t="s">
        <v>483</v>
      </c>
      <c r="B206" t="s">
        <v>484</v>
      </c>
      <c r="C206" t="s">
        <v>56</v>
      </c>
      <c r="D206" t="str">
        <f t="shared" si="14"/>
        <v>S000207Egly-Ouriet Coteaux Champenois Ambonnay Rouge 'Cuvee des Grands Cotes' Vieilles Vignes2021</v>
      </c>
      <c r="E206">
        <f t="shared" si="15"/>
        <v>1</v>
      </c>
      <c r="F206" t="s">
        <v>483</v>
      </c>
      <c r="G206" t="s">
        <v>484</v>
      </c>
      <c r="H206" t="s">
        <v>56</v>
      </c>
      <c r="I206" t="str">
        <f t="shared" si="13"/>
        <v>S000207Egly-Ouriet Coteaux Champenois Ambonnay Rouge 'Cuvee des Grands Cotes' Vieilles Vignes2021</v>
      </c>
      <c r="J206">
        <f t="shared" si="16"/>
        <v>1</v>
      </c>
    </row>
    <row r="207" spans="1:10">
      <c r="A207" t="s">
        <v>485</v>
      </c>
      <c r="B207" t="s">
        <v>486</v>
      </c>
      <c r="C207" t="s">
        <v>30</v>
      </c>
      <c r="D207" t="str">
        <f t="shared" si="14"/>
        <v>S000208Domaine Elodie Roy Bourgogne Hautes Cotes de Beaune Blanc2022</v>
      </c>
      <c r="E207">
        <f t="shared" si="15"/>
        <v>1</v>
      </c>
      <c r="F207" t="s">
        <v>485</v>
      </c>
      <c r="G207" t="s">
        <v>486</v>
      </c>
      <c r="H207" t="s">
        <v>30</v>
      </c>
      <c r="I207" t="str">
        <f t="shared" si="13"/>
        <v>S000208Domaine Elodie Roy Bourgogne Hautes Cotes de Beaune Blanc2022</v>
      </c>
      <c r="J207">
        <f t="shared" si="16"/>
        <v>1</v>
      </c>
    </row>
    <row r="208" spans="1:10">
      <c r="A208" t="s">
        <v>488</v>
      </c>
      <c r="B208" t="s">
        <v>489</v>
      </c>
      <c r="C208" t="s">
        <v>30</v>
      </c>
      <c r="D208" t="str">
        <f t="shared" si="14"/>
        <v>S000209Domaine Elodie Roy Bourgogne Hautes Cotes de Beaune Rouge2022</v>
      </c>
      <c r="E208">
        <f t="shared" si="15"/>
        <v>1</v>
      </c>
      <c r="F208" t="s">
        <v>488</v>
      </c>
      <c r="G208" t="s">
        <v>489</v>
      </c>
      <c r="H208" t="s">
        <v>30</v>
      </c>
      <c r="I208" t="str">
        <f t="shared" si="13"/>
        <v>S000209Domaine Elodie Roy Bourgogne Hautes Cotes de Beaune Rouge2022</v>
      </c>
      <c r="J208">
        <f t="shared" si="16"/>
        <v>1</v>
      </c>
    </row>
    <row r="209" spans="1:10">
      <c r="A209" t="s">
        <v>490</v>
      </c>
      <c r="B209" t="s">
        <v>491</v>
      </c>
      <c r="C209" t="s">
        <v>30</v>
      </c>
      <c r="D209" t="str">
        <f t="shared" si="14"/>
        <v>S000210Domaine Elodie Roy Santenay 'Les Gravieres' Premier Cru2022</v>
      </c>
      <c r="E209">
        <f t="shared" si="15"/>
        <v>1</v>
      </c>
      <c r="F209" t="s">
        <v>490</v>
      </c>
      <c r="G209" t="s">
        <v>491</v>
      </c>
      <c r="H209" t="s">
        <v>30</v>
      </c>
      <c r="I209" t="str">
        <f t="shared" si="13"/>
        <v>S000210Domaine Elodie Roy Santenay 'Les Gravieres' Premier Cru2022</v>
      </c>
      <c r="J209">
        <f t="shared" si="16"/>
        <v>1</v>
      </c>
    </row>
    <row r="210" spans="1:10">
      <c r="A210" t="s">
        <v>492</v>
      </c>
      <c r="B210" t="s">
        <v>493</v>
      </c>
      <c r="C210" t="s">
        <v>92</v>
      </c>
      <c r="D210" t="str">
        <f t="shared" si="14"/>
        <v>S000211Emmanuel Rouget Bourgogne Passe-tout-grains2020</v>
      </c>
      <c r="E210">
        <f t="shared" si="15"/>
        <v>1</v>
      </c>
      <c r="F210" t="s">
        <v>492</v>
      </c>
      <c r="G210" t="s">
        <v>493</v>
      </c>
      <c r="H210" t="s">
        <v>92</v>
      </c>
      <c r="I210" t="str">
        <f t="shared" si="13"/>
        <v>S000211Emmanuel Rouget Bourgogne Passe-tout-grains2020</v>
      </c>
      <c r="J210">
        <f t="shared" si="16"/>
        <v>1</v>
      </c>
    </row>
    <row r="211" spans="1:10">
      <c r="A211" t="s">
        <v>494</v>
      </c>
      <c r="B211" t="s">
        <v>493</v>
      </c>
      <c r="C211" t="s">
        <v>56</v>
      </c>
      <c r="D211" t="str">
        <f t="shared" si="14"/>
        <v>S000212Emmanuel Rouget Bourgogne Passe-tout-grains2021</v>
      </c>
      <c r="E211">
        <f t="shared" si="15"/>
        <v>1</v>
      </c>
      <c r="F211" t="s">
        <v>494</v>
      </c>
      <c r="G211" t="s">
        <v>493</v>
      </c>
      <c r="H211" t="s">
        <v>56</v>
      </c>
      <c r="I211" t="str">
        <f t="shared" si="13"/>
        <v>S000212Emmanuel Rouget Bourgogne Passe-tout-grains2021</v>
      </c>
      <c r="J211">
        <f t="shared" si="16"/>
        <v>1</v>
      </c>
    </row>
    <row r="212" spans="1:10">
      <c r="A212" t="s">
        <v>495</v>
      </c>
      <c r="B212" t="s">
        <v>493</v>
      </c>
      <c r="C212" t="s">
        <v>30</v>
      </c>
      <c r="D212" t="str">
        <f t="shared" si="14"/>
        <v>S000213Emmanuel Rouget Bourgogne Passe-tout-grains2022</v>
      </c>
      <c r="E212">
        <f t="shared" si="15"/>
        <v>1</v>
      </c>
      <c r="F212" t="s">
        <v>495</v>
      </c>
      <c r="G212" t="s">
        <v>493</v>
      </c>
      <c r="H212" t="s">
        <v>30</v>
      </c>
      <c r="I212" t="str">
        <f t="shared" si="13"/>
        <v>S000213Emmanuel Rouget Bourgogne Passe-tout-grains2022</v>
      </c>
      <c r="J212">
        <f t="shared" si="16"/>
        <v>1</v>
      </c>
    </row>
    <row r="213" spans="1:10">
      <c r="A213" t="s">
        <v>496</v>
      </c>
      <c r="B213" t="s">
        <v>493</v>
      </c>
      <c r="C213" t="s">
        <v>289</v>
      </c>
      <c r="D213" t="str">
        <f t="shared" si="14"/>
        <v>S000214Emmanuel Rouget Bourgogne Passe-tout-grains2023</v>
      </c>
      <c r="E213">
        <f t="shared" si="15"/>
        <v>1</v>
      </c>
      <c r="F213" t="s">
        <v>496</v>
      </c>
      <c r="G213" t="s">
        <v>493</v>
      </c>
      <c r="H213" t="s">
        <v>289</v>
      </c>
      <c r="I213" t="str">
        <f t="shared" si="13"/>
        <v>S000214Emmanuel Rouget Bourgogne Passe-tout-grains2023</v>
      </c>
      <c r="J213">
        <f t="shared" si="16"/>
        <v>1</v>
      </c>
    </row>
    <row r="214" spans="1:10">
      <c r="A214" t="s">
        <v>497</v>
      </c>
      <c r="B214" t="s">
        <v>498</v>
      </c>
      <c r="C214" t="s">
        <v>118</v>
      </c>
      <c r="D214" t="str">
        <f t="shared" si="14"/>
        <v>S000215Emmanuel Rouget Chorey-les-Beaune2018</v>
      </c>
      <c r="E214">
        <f t="shared" si="15"/>
        <v>1</v>
      </c>
      <c r="F214" t="s">
        <v>497</v>
      </c>
      <c r="G214" t="s">
        <v>498</v>
      </c>
      <c r="H214" t="s">
        <v>118</v>
      </c>
      <c r="I214" t="str">
        <f t="shared" si="13"/>
        <v>S000215Emmanuel Rouget Chorey-les-Beaune2018</v>
      </c>
      <c r="J214">
        <f t="shared" si="16"/>
        <v>1</v>
      </c>
    </row>
    <row r="215" spans="1:10">
      <c r="A215" t="s">
        <v>499</v>
      </c>
      <c r="B215" t="s">
        <v>498</v>
      </c>
      <c r="C215" t="s">
        <v>92</v>
      </c>
      <c r="D215" t="str">
        <f t="shared" si="14"/>
        <v>S000216Emmanuel Rouget Chorey-les-Beaune2020</v>
      </c>
      <c r="E215">
        <f t="shared" si="15"/>
        <v>1</v>
      </c>
      <c r="F215" t="s">
        <v>499</v>
      </c>
      <c r="G215" t="s">
        <v>498</v>
      </c>
      <c r="H215" t="s">
        <v>92</v>
      </c>
      <c r="I215" t="str">
        <f t="shared" si="13"/>
        <v>S000216Emmanuel Rouget Chorey-les-Beaune2020</v>
      </c>
      <c r="J215">
        <f t="shared" si="16"/>
        <v>1</v>
      </c>
    </row>
    <row r="216" spans="1:10">
      <c r="A216" t="s">
        <v>500</v>
      </c>
      <c r="B216" t="s">
        <v>501</v>
      </c>
      <c r="C216" t="s">
        <v>56</v>
      </c>
      <c r="D216" t="str">
        <f t="shared" si="14"/>
        <v>S000217Emmanuel Rouget Cote de Nuits-Villages2021</v>
      </c>
      <c r="E216">
        <f t="shared" si="15"/>
        <v>1</v>
      </c>
      <c r="F216" t="s">
        <v>500</v>
      </c>
      <c r="G216" t="s">
        <v>501</v>
      </c>
      <c r="H216" t="s">
        <v>56</v>
      </c>
      <c r="I216" t="str">
        <f t="shared" si="13"/>
        <v>S000217Emmanuel Rouget Cote de Nuits-Villages2021</v>
      </c>
      <c r="J216">
        <f t="shared" si="16"/>
        <v>1</v>
      </c>
    </row>
    <row r="217" spans="1:10">
      <c r="A217" t="s">
        <v>502</v>
      </c>
      <c r="B217" t="s">
        <v>503</v>
      </c>
      <c r="C217" t="s">
        <v>114</v>
      </c>
      <c r="D217" t="str">
        <f t="shared" si="14"/>
        <v>S000218Emmanuel Rouget Échézeaux Grand Cru2014</v>
      </c>
      <c r="E217">
        <f t="shared" si="15"/>
        <v>1</v>
      </c>
      <c r="F217" t="s">
        <v>502</v>
      </c>
      <c r="G217" t="s">
        <v>503</v>
      </c>
      <c r="H217" t="s">
        <v>114</v>
      </c>
      <c r="I217" t="str">
        <f t="shared" si="13"/>
        <v>S000218Emmanuel Rouget Échézeaux Grand Cru2014</v>
      </c>
      <c r="J217">
        <f t="shared" si="16"/>
        <v>1</v>
      </c>
    </row>
    <row r="218" spans="1:10">
      <c r="A218" t="s">
        <v>504</v>
      </c>
      <c r="B218" t="s">
        <v>503</v>
      </c>
      <c r="C218" t="s">
        <v>92</v>
      </c>
      <c r="D218" t="str">
        <f t="shared" si="14"/>
        <v>S000219Emmanuel Rouget Échézeaux Grand Cru2020</v>
      </c>
      <c r="E218">
        <f t="shared" si="15"/>
        <v>1</v>
      </c>
      <c r="F218" t="s">
        <v>504</v>
      </c>
      <c r="G218" t="s">
        <v>503</v>
      </c>
      <c r="H218" t="s">
        <v>92</v>
      </c>
      <c r="I218" t="str">
        <f t="shared" si="13"/>
        <v>S000219Emmanuel Rouget Échézeaux Grand Cru2020</v>
      </c>
      <c r="J218">
        <f t="shared" si="16"/>
        <v>1</v>
      </c>
    </row>
    <row r="219" spans="1:10">
      <c r="A219" t="s">
        <v>505</v>
      </c>
      <c r="B219" t="s">
        <v>506</v>
      </c>
      <c r="C219" t="s">
        <v>118</v>
      </c>
      <c r="D219" t="str">
        <f t="shared" si="14"/>
        <v>S000220Emmanuel Rouget Nuits-Saint-Georges2018</v>
      </c>
      <c r="E219">
        <f t="shared" si="15"/>
        <v>1</v>
      </c>
      <c r="F219" t="s">
        <v>505</v>
      </c>
      <c r="G219" t="s">
        <v>506</v>
      </c>
      <c r="H219" t="s">
        <v>118</v>
      </c>
      <c r="I219" t="str">
        <f t="shared" si="13"/>
        <v>S000220Emmanuel Rouget Nuits-Saint-Georges2018</v>
      </c>
      <c r="J219">
        <f t="shared" si="16"/>
        <v>1</v>
      </c>
    </row>
    <row r="220" spans="1:10">
      <c r="A220" t="s">
        <v>507</v>
      </c>
      <c r="B220" t="s">
        <v>506</v>
      </c>
      <c r="C220" t="s">
        <v>81</v>
      </c>
      <c r="D220" t="str">
        <f t="shared" si="14"/>
        <v>S000221Emmanuel Rouget Nuits-Saint-Georges2019</v>
      </c>
      <c r="E220">
        <f t="shared" si="15"/>
        <v>1</v>
      </c>
      <c r="F220" t="s">
        <v>507</v>
      </c>
      <c r="G220" t="s">
        <v>506</v>
      </c>
      <c r="H220" t="s">
        <v>81</v>
      </c>
      <c r="I220" t="str">
        <f t="shared" si="13"/>
        <v>S000221Emmanuel Rouget Nuits-Saint-Georges2019</v>
      </c>
      <c r="J220">
        <f t="shared" si="16"/>
        <v>1</v>
      </c>
    </row>
    <row r="221" spans="1:10">
      <c r="A221" t="s">
        <v>508</v>
      </c>
      <c r="B221" t="s">
        <v>506</v>
      </c>
      <c r="C221" t="s">
        <v>56</v>
      </c>
      <c r="D221" t="str">
        <f t="shared" si="14"/>
        <v>S000222Emmanuel Rouget Nuits-Saint-Georges2021</v>
      </c>
      <c r="E221">
        <f t="shared" si="15"/>
        <v>1</v>
      </c>
      <c r="F221" t="s">
        <v>508</v>
      </c>
      <c r="G221" t="s">
        <v>506</v>
      </c>
      <c r="H221" t="s">
        <v>56</v>
      </c>
      <c r="I221" t="str">
        <f t="shared" si="13"/>
        <v>S000222Emmanuel Rouget Nuits-Saint-Georges2021</v>
      </c>
      <c r="J221">
        <f t="shared" si="16"/>
        <v>1</v>
      </c>
    </row>
    <row r="222" spans="1:10">
      <c r="A222" t="s">
        <v>509</v>
      </c>
      <c r="B222" t="s">
        <v>510</v>
      </c>
      <c r="C222" t="s">
        <v>118</v>
      </c>
      <c r="D222" t="str">
        <f t="shared" si="14"/>
        <v>S000223Emmanuel Rouget Savigny-lès-Beaune2018</v>
      </c>
      <c r="E222">
        <f t="shared" si="15"/>
        <v>1</v>
      </c>
      <c r="F222" t="s">
        <v>509</v>
      </c>
      <c r="G222" t="s">
        <v>510</v>
      </c>
      <c r="H222" t="s">
        <v>118</v>
      </c>
      <c r="I222" t="str">
        <f t="shared" si="13"/>
        <v>S000223Emmanuel Rouget Savigny-lès-Beaune2018</v>
      </c>
      <c r="J222">
        <f t="shared" si="16"/>
        <v>1</v>
      </c>
    </row>
    <row r="223" spans="1:10">
      <c r="A223" t="s">
        <v>511</v>
      </c>
      <c r="B223" t="s">
        <v>512</v>
      </c>
      <c r="C223" t="s">
        <v>118</v>
      </c>
      <c r="D223" t="str">
        <f t="shared" si="14"/>
        <v>S000224Emmanuel Rouget Vosne-Romanée2018</v>
      </c>
      <c r="E223">
        <f t="shared" si="15"/>
        <v>1</v>
      </c>
      <c r="F223" t="s">
        <v>511</v>
      </c>
      <c r="G223" t="s">
        <v>512</v>
      </c>
      <c r="H223" t="s">
        <v>118</v>
      </c>
      <c r="I223" t="str">
        <f t="shared" si="13"/>
        <v>S000224Emmanuel Rouget Vosne-Romanée2018</v>
      </c>
      <c r="J223">
        <f t="shared" si="16"/>
        <v>1</v>
      </c>
    </row>
    <row r="224" spans="1:10">
      <c r="A224" t="s">
        <v>513</v>
      </c>
      <c r="B224" t="s">
        <v>512</v>
      </c>
      <c r="C224" t="s">
        <v>81</v>
      </c>
      <c r="D224" t="str">
        <f t="shared" si="14"/>
        <v>S000225Emmanuel Rouget Vosne-Romanée2019</v>
      </c>
      <c r="E224">
        <f t="shared" si="15"/>
        <v>1</v>
      </c>
      <c r="F224" t="s">
        <v>513</v>
      </c>
      <c r="G224" t="s">
        <v>512</v>
      </c>
      <c r="H224" t="s">
        <v>81</v>
      </c>
      <c r="I224" t="str">
        <f t="shared" si="13"/>
        <v>S000225Emmanuel Rouget Vosne-Romanée2019</v>
      </c>
      <c r="J224">
        <f t="shared" si="16"/>
        <v>1</v>
      </c>
    </row>
    <row r="225" spans="1:10">
      <c r="A225" t="s">
        <v>514</v>
      </c>
      <c r="B225" t="s">
        <v>515</v>
      </c>
      <c r="C225" t="s">
        <v>81</v>
      </c>
      <c r="D225" t="str">
        <f t="shared" si="14"/>
        <v>S000226Emmanuel Rouget Vosne-Romanée 'Cros Parantoux' Premier Cru2019</v>
      </c>
      <c r="E225">
        <f t="shared" si="15"/>
        <v>1</v>
      </c>
      <c r="F225" t="s">
        <v>514</v>
      </c>
      <c r="G225" t="s">
        <v>515</v>
      </c>
      <c r="H225" t="s">
        <v>81</v>
      </c>
      <c r="I225" t="str">
        <f t="shared" si="13"/>
        <v>S000226Emmanuel Rouget Vosne-Romanée 'Cros Parantoux' Premier Cru2019</v>
      </c>
      <c r="J225">
        <f t="shared" si="16"/>
        <v>1</v>
      </c>
    </row>
    <row r="226" spans="1:10">
      <c r="A226" t="s">
        <v>516</v>
      </c>
      <c r="B226" t="s">
        <v>517</v>
      </c>
      <c r="C226" t="s">
        <v>92</v>
      </c>
      <c r="D226" t="str">
        <f t="shared" si="14"/>
        <v>S000227Emmanuel Rouget Vosne-Romanée 'Les Beaux Monts' Premier Cru2020</v>
      </c>
      <c r="E226">
        <f t="shared" si="15"/>
        <v>1</v>
      </c>
      <c r="F226" t="s">
        <v>516</v>
      </c>
      <c r="G226" t="s">
        <v>517</v>
      </c>
      <c r="H226" t="s">
        <v>92</v>
      </c>
      <c r="I226" t="str">
        <f t="shared" si="13"/>
        <v>S000227Emmanuel Rouget Vosne-Romanée 'Les Beaux Monts' Premier Cru2020</v>
      </c>
      <c r="J226">
        <f t="shared" si="16"/>
        <v>1</v>
      </c>
    </row>
    <row r="227" spans="1:10">
      <c r="A227" t="s">
        <v>518</v>
      </c>
      <c r="B227" t="s">
        <v>517</v>
      </c>
      <c r="C227" t="s">
        <v>56</v>
      </c>
      <c r="D227" t="str">
        <f t="shared" si="14"/>
        <v>S000228Emmanuel Rouget Vosne-Romanée 'Les Beaux Monts' Premier Cru2021</v>
      </c>
      <c r="E227">
        <f t="shared" si="15"/>
        <v>1</v>
      </c>
      <c r="F227" t="s">
        <v>518</v>
      </c>
      <c r="G227" t="s">
        <v>517</v>
      </c>
      <c r="H227" t="s">
        <v>56</v>
      </c>
      <c r="I227" t="str">
        <f t="shared" si="13"/>
        <v>S000228Emmanuel Rouget Vosne-Romanée 'Les Beaux Monts' Premier Cru2021</v>
      </c>
      <c r="J227">
        <f t="shared" si="16"/>
        <v>1</v>
      </c>
    </row>
    <row r="228" spans="1:10">
      <c r="A228" t="s">
        <v>519</v>
      </c>
      <c r="B228" t="s">
        <v>520</v>
      </c>
      <c r="C228" t="s">
        <v>144</v>
      </c>
      <c r="D228" t="str">
        <f t="shared" si="14"/>
        <v>S000229Eric Rodez Grand Cru 'Cuvee des Crayeres' Ambonnay Grand Cru Extra BrutNV</v>
      </c>
      <c r="E228">
        <f t="shared" si="15"/>
        <v>1</v>
      </c>
      <c r="F228" t="s">
        <v>519</v>
      </c>
      <c r="G228" t="s">
        <v>520</v>
      </c>
      <c r="H228" t="s">
        <v>144</v>
      </c>
      <c r="I228" t="str">
        <f t="shared" si="13"/>
        <v>S000229Eric Rodez Grand Cru 'Cuvee des Crayeres' Ambonnay Grand Cru Extra BrutNV</v>
      </c>
      <c r="J228">
        <f t="shared" si="16"/>
        <v>1</v>
      </c>
    </row>
    <row r="229" spans="1:10">
      <c r="A229" t="s">
        <v>521</v>
      </c>
      <c r="B229" t="s">
        <v>522</v>
      </c>
      <c r="C229" t="s">
        <v>125</v>
      </c>
      <c r="D229" t="str">
        <f t="shared" si="14"/>
        <v>S000230Domaine d'Eugenie Vosne-Romanée 'Aux Brulees' Premier Cru2008</v>
      </c>
      <c r="E229">
        <f t="shared" si="15"/>
        <v>1</v>
      </c>
      <c r="F229" t="s">
        <v>521</v>
      </c>
      <c r="G229" t="s">
        <v>522</v>
      </c>
      <c r="H229" t="s">
        <v>125</v>
      </c>
      <c r="I229" t="str">
        <f t="shared" si="13"/>
        <v>S000230Domaine d'Eugenie Vosne-Romanée 'Aux Brulees' Premier Cru2008</v>
      </c>
      <c r="J229">
        <f t="shared" si="16"/>
        <v>1</v>
      </c>
    </row>
    <row r="230" spans="1:10">
      <c r="A230" t="s">
        <v>523</v>
      </c>
      <c r="B230" t="s">
        <v>524</v>
      </c>
      <c r="C230" t="s">
        <v>222</v>
      </c>
      <c r="D230" t="str">
        <f t="shared" si="14"/>
        <v>S000231Domaine Fabrice Vigot Nuits-Saint-Georges Vieilles Vignes2015</v>
      </c>
      <c r="E230">
        <f t="shared" si="15"/>
        <v>1</v>
      </c>
      <c r="F230" t="s">
        <v>523</v>
      </c>
      <c r="G230" t="s">
        <v>524</v>
      </c>
      <c r="H230" t="s">
        <v>222</v>
      </c>
      <c r="I230" t="str">
        <f t="shared" si="13"/>
        <v>S000231Domaine Fabrice Vigot Nuits-Saint-Georges Vieilles Vignes2015</v>
      </c>
      <c r="J230">
        <f t="shared" si="16"/>
        <v>1</v>
      </c>
    </row>
    <row r="231" spans="1:10">
      <c r="A231" t="s">
        <v>525</v>
      </c>
      <c r="B231" t="s">
        <v>526</v>
      </c>
      <c r="C231" t="s">
        <v>222</v>
      </c>
      <c r="D231" t="str">
        <f t="shared" si="14"/>
        <v>S000232Domaine Fabrice Vigot Vosne-Romanée 'Les Damaudes'2015</v>
      </c>
      <c r="E231">
        <f t="shared" si="15"/>
        <v>1</v>
      </c>
      <c r="F231" t="s">
        <v>525</v>
      </c>
      <c r="G231" t="s">
        <v>526</v>
      </c>
      <c r="H231" t="s">
        <v>222</v>
      </c>
      <c r="I231" t="str">
        <f t="shared" si="13"/>
        <v>S000232Domaine Fabrice Vigot Vosne-Romanée 'Les Damaudes'2015</v>
      </c>
      <c r="J231">
        <f t="shared" si="16"/>
        <v>1</v>
      </c>
    </row>
    <row r="232" spans="1:10">
      <c r="A232" t="s">
        <v>527</v>
      </c>
      <c r="B232" t="s">
        <v>524</v>
      </c>
      <c r="C232" t="s">
        <v>137</v>
      </c>
      <c r="D232" t="str">
        <f t="shared" si="14"/>
        <v>S000233Domaine Fabrice Vigot Nuits-Saint-Georges Vieilles Vignes2017</v>
      </c>
      <c r="E232">
        <f t="shared" si="15"/>
        <v>1</v>
      </c>
      <c r="F232" t="s">
        <v>527</v>
      </c>
      <c r="G232" t="s">
        <v>524</v>
      </c>
      <c r="H232" t="s">
        <v>137</v>
      </c>
      <c r="I232" t="str">
        <f t="shared" si="13"/>
        <v>S000233Domaine Fabrice Vigot Nuits-Saint-Georges Vieilles Vignes2017</v>
      </c>
      <c r="J232">
        <f t="shared" si="16"/>
        <v>1</v>
      </c>
    </row>
    <row r="233" spans="1:10">
      <c r="A233" t="s">
        <v>528</v>
      </c>
      <c r="B233" t="s">
        <v>529</v>
      </c>
      <c r="C233" t="s">
        <v>111</v>
      </c>
      <c r="D233" t="str">
        <f t="shared" si="14"/>
        <v>S000234Domaine Faiveley Chambolle-Musigny 'Les Amoureuses'2013</v>
      </c>
      <c r="E233">
        <f t="shared" si="15"/>
        <v>1</v>
      </c>
      <c r="F233" t="s">
        <v>528</v>
      </c>
      <c r="G233" t="s">
        <v>529</v>
      </c>
      <c r="H233" t="s">
        <v>111</v>
      </c>
      <c r="I233" t="str">
        <f t="shared" si="13"/>
        <v>S000234Domaine Faiveley Chambolle-Musigny 'Les Amoureuses'2013</v>
      </c>
      <c r="J233">
        <f t="shared" si="16"/>
        <v>1</v>
      </c>
    </row>
    <row r="234" spans="1:10">
      <c r="A234" t="s">
        <v>530</v>
      </c>
      <c r="B234" t="s">
        <v>531</v>
      </c>
      <c r="C234" t="s">
        <v>30</v>
      </c>
      <c r="D234" t="str">
        <f t="shared" si="14"/>
        <v>S000235Famille Messager Germain Bourgogne Chardonnay2022</v>
      </c>
      <c r="E234">
        <f t="shared" si="15"/>
        <v>1</v>
      </c>
      <c r="F234" t="s">
        <v>530</v>
      </c>
      <c r="G234" t="s">
        <v>531</v>
      </c>
      <c r="H234" t="s">
        <v>30</v>
      </c>
      <c r="I234" t="str">
        <f t="shared" si="13"/>
        <v>S000235Famille Messager Germain Bourgogne Chardonnay2022</v>
      </c>
      <c r="J234">
        <f t="shared" si="16"/>
        <v>1</v>
      </c>
    </row>
    <row r="235" spans="1:10">
      <c r="A235" t="s">
        <v>532</v>
      </c>
      <c r="B235" t="s">
        <v>533</v>
      </c>
      <c r="C235" t="s">
        <v>30</v>
      </c>
      <c r="D235" t="str">
        <f t="shared" si="14"/>
        <v>S000236Famille Messager Germain Bourgogne Pinot Noir2022</v>
      </c>
      <c r="E235">
        <f t="shared" si="15"/>
        <v>1</v>
      </c>
      <c r="F235" t="s">
        <v>532</v>
      </c>
      <c r="G235" t="s">
        <v>533</v>
      </c>
      <c r="H235" t="s">
        <v>30</v>
      </c>
      <c r="I235" t="str">
        <f t="shared" si="13"/>
        <v>S000236Famille Messager Germain Bourgogne Pinot Noir2022</v>
      </c>
      <c r="J235">
        <f t="shared" si="16"/>
        <v>1</v>
      </c>
    </row>
    <row r="236" spans="1:10">
      <c r="A236" t="s">
        <v>534</v>
      </c>
      <c r="B236" t="s">
        <v>535</v>
      </c>
      <c r="C236" t="s">
        <v>30</v>
      </c>
      <c r="D236" t="str">
        <f t="shared" si="14"/>
        <v>S000237Famille Messager Germain Coteaux Bourguignons Chardonnay2022</v>
      </c>
      <c r="E236">
        <f t="shared" si="15"/>
        <v>1</v>
      </c>
      <c r="F236" t="s">
        <v>534</v>
      </c>
      <c r="G236" t="s">
        <v>535</v>
      </c>
      <c r="H236" t="s">
        <v>30</v>
      </c>
      <c r="I236" t="str">
        <f t="shared" si="13"/>
        <v>S000237Famille Messager Germain Coteaux Bourguignons Chardonnay2022</v>
      </c>
      <c r="J236">
        <f t="shared" si="16"/>
        <v>1</v>
      </c>
    </row>
    <row r="237" spans="1:10">
      <c r="A237" t="s">
        <v>536</v>
      </c>
      <c r="B237" t="s">
        <v>537</v>
      </c>
      <c r="C237" t="s">
        <v>114</v>
      </c>
      <c r="D237" t="str">
        <f t="shared" si="14"/>
        <v>S000238Chateau Faugeres Saint-Émilion Grand Cru2014</v>
      </c>
      <c r="E237">
        <f t="shared" si="15"/>
        <v>1</v>
      </c>
      <c r="F237" t="s">
        <v>536</v>
      </c>
      <c r="G237" t="s">
        <v>537</v>
      </c>
      <c r="H237" t="s">
        <v>114</v>
      </c>
      <c r="I237" t="str">
        <f t="shared" si="13"/>
        <v>S000238Chateau Faugeres Saint-Émilion Grand Cru2014</v>
      </c>
      <c r="J237">
        <f t="shared" si="16"/>
        <v>1</v>
      </c>
    </row>
    <row r="238" spans="1:10">
      <c r="A238" t="s">
        <v>538</v>
      </c>
      <c r="B238" t="s">
        <v>539</v>
      </c>
      <c r="C238" t="s">
        <v>56</v>
      </c>
      <c r="D238" t="str">
        <f t="shared" si="14"/>
        <v>S000239Domaine Gilbert et Christine Felettig Chambolle-Musigny Vieilles Vignes2021</v>
      </c>
      <c r="E238">
        <f t="shared" si="15"/>
        <v>1</v>
      </c>
      <c r="F238" t="s">
        <v>538</v>
      </c>
      <c r="G238" t="s">
        <v>539</v>
      </c>
      <c r="H238" t="s">
        <v>56</v>
      </c>
      <c r="I238" t="str">
        <f t="shared" si="13"/>
        <v>S000239Domaine Gilbert et Christine Felettig Chambolle-Musigny Vieilles Vignes2021</v>
      </c>
      <c r="J238">
        <f t="shared" si="16"/>
        <v>1</v>
      </c>
    </row>
    <row r="239" spans="1:10">
      <c r="A239" t="s">
        <v>540</v>
      </c>
      <c r="B239" t="s">
        <v>541</v>
      </c>
      <c r="C239" t="s">
        <v>56</v>
      </c>
      <c r="D239" t="str">
        <f t="shared" si="14"/>
        <v>S000240Domaine Gilbert et Christine Felettig Bourgogne Hautes Cotes de Nuits2021</v>
      </c>
      <c r="E239">
        <f t="shared" si="15"/>
        <v>1</v>
      </c>
      <c r="F239" t="s">
        <v>540</v>
      </c>
      <c r="G239" t="s">
        <v>541</v>
      </c>
      <c r="H239" t="s">
        <v>56</v>
      </c>
      <c r="I239" t="str">
        <f t="shared" si="13"/>
        <v>S000240Domaine Gilbert et Christine Felettig Bourgogne Hautes Cotes de Nuits2021</v>
      </c>
      <c r="J239">
        <f t="shared" si="16"/>
        <v>1</v>
      </c>
    </row>
    <row r="240" spans="1:10">
      <c r="A240" t="s">
        <v>542</v>
      </c>
      <c r="B240" t="s">
        <v>543</v>
      </c>
      <c r="C240" t="s">
        <v>118</v>
      </c>
      <c r="D240" t="str">
        <f t="shared" si="14"/>
        <v>S000241Domaine Gilbert et Christine Felettig Vosne-Romanée2018</v>
      </c>
      <c r="E240">
        <f t="shared" si="15"/>
        <v>1</v>
      </c>
      <c r="F240" t="s">
        <v>542</v>
      </c>
      <c r="G240" t="s">
        <v>543</v>
      </c>
      <c r="H240" t="s">
        <v>118</v>
      </c>
      <c r="I240" t="str">
        <f t="shared" si="13"/>
        <v>S000241Domaine Gilbert et Christine Felettig Vosne-Romanée2018</v>
      </c>
      <c r="J240">
        <f t="shared" si="16"/>
        <v>1</v>
      </c>
    </row>
    <row r="241" spans="1:10">
      <c r="A241" t="s">
        <v>544</v>
      </c>
      <c r="B241" t="s">
        <v>545</v>
      </c>
      <c r="C241" t="s">
        <v>222</v>
      </c>
      <c r="D241" t="str">
        <f t="shared" si="14"/>
        <v>S000242Domaine Gilbert et Christine Felettig Vosne-Romanée 'Aux Reignots' Premier Cru2015</v>
      </c>
      <c r="E241">
        <f t="shared" si="15"/>
        <v>1</v>
      </c>
      <c r="F241" t="s">
        <v>544</v>
      </c>
      <c r="G241" t="s">
        <v>545</v>
      </c>
      <c r="H241" t="s">
        <v>222</v>
      </c>
      <c r="I241" t="str">
        <f t="shared" si="13"/>
        <v>S000242Domaine Gilbert et Christine Felettig Vosne-Romanée 'Aux Reignots' Premier Cru2015</v>
      </c>
      <c r="J241">
        <f t="shared" si="16"/>
        <v>1</v>
      </c>
    </row>
    <row r="242" spans="1:10">
      <c r="A242" t="s">
        <v>546</v>
      </c>
      <c r="B242" t="s">
        <v>547</v>
      </c>
      <c r="C242" t="s">
        <v>133</v>
      </c>
      <c r="D242" t="str">
        <f t="shared" si="14"/>
        <v>S000243Chateau Ferriere2007</v>
      </c>
      <c r="E242">
        <f t="shared" si="15"/>
        <v>1</v>
      </c>
      <c r="F242" t="s">
        <v>546</v>
      </c>
      <c r="G242" t="s">
        <v>547</v>
      </c>
      <c r="H242" t="s">
        <v>133</v>
      </c>
      <c r="I242" t="str">
        <f t="shared" si="13"/>
        <v>S000243Chateau Ferriere2007</v>
      </c>
      <c r="J242">
        <f t="shared" si="16"/>
        <v>1</v>
      </c>
    </row>
    <row r="243" spans="1:10">
      <c r="A243" t="s">
        <v>548</v>
      </c>
      <c r="B243" t="s">
        <v>549</v>
      </c>
      <c r="C243" t="s">
        <v>144</v>
      </c>
      <c r="D243" t="str">
        <f t="shared" si="14"/>
        <v>S000244Fleury Pere et Fils 'Fleur de l'Europe' Brut NatureNV</v>
      </c>
      <c r="E243">
        <f t="shared" si="15"/>
        <v>1</v>
      </c>
      <c r="F243" t="s">
        <v>548</v>
      </c>
      <c r="G243" t="s">
        <v>549</v>
      </c>
      <c r="H243" t="s">
        <v>144</v>
      </c>
      <c r="I243" t="str">
        <f t="shared" si="13"/>
        <v>S000244Fleury Pere et Fils 'Fleur de l'Europe' Brut NatureNV</v>
      </c>
      <c r="J243">
        <f t="shared" si="16"/>
        <v>1</v>
      </c>
    </row>
    <row r="244" spans="1:10">
      <c r="A244" t="s">
        <v>550</v>
      </c>
      <c r="B244" t="s">
        <v>551</v>
      </c>
      <c r="C244" t="s">
        <v>222</v>
      </c>
      <c r="D244" t="str">
        <f t="shared" si="14"/>
        <v>S000245Fleury Pere et Fils 'Notes Blanches' Brut Nature2015</v>
      </c>
      <c r="E244">
        <f t="shared" si="15"/>
        <v>1</v>
      </c>
      <c r="F244" t="s">
        <v>550</v>
      </c>
      <c r="G244" t="s">
        <v>551</v>
      </c>
      <c r="H244" t="s">
        <v>222</v>
      </c>
      <c r="I244" t="str">
        <f t="shared" si="13"/>
        <v>S000245Fleury Pere et Fils 'Notes Blanches' Brut Nature2015</v>
      </c>
      <c r="J244">
        <f t="shared" si="16"/>
        <v>1</v>
      </c>
    </row>
    <row r="245" spans="1:10">
      <c r="A245" t="s">
        <v>552</v>
      </c>
      <c r="B245" t="s">
        <v>553</v>
      </c>
      <c r="C245" t="s">
        <v>127</v>
      </c>
      <c r="D245" t="str">
        <f t="shared" si="14"/>
        <v>S000246Domaine Follin-Arbelet Romanée-Saint-Vivant Grand Cru2009</v>
      </c>
      <c r="E245">
        <f t="shared" si="15"/>
        <v>1</v>
      </c>
      <c r="F245" t="s">
        <v>552</v>
      </c>
      <c r="G245" t="s">
        <v>553</v>
      </c>
      <c r="H245" t="s">
        <v>127</v>
      </c>
      <c r="I245" t="str">
        <f t="shared" si="13"/>
        <v>S000246Domaine Follin-Arbelet Romanée-Saint-Vivant Grand Cru2009</v>
      </c>
      <c r="J245">
        <f t="shared" si="16"/>
        <v>1</v>
      </c>
    </row>
    <row r="246" spans="1:10">
      <c r="A246" t="s">
        <v>554</v>
      </c>
      <c r="B246" t="s">
        <v>555</v>
      </c>
      <c r="C246" t="s">
        <v>556</v>
      </c>
      <c r="D246" t="str">
        <f t="shared" si="14"/>
        <v>S000247Fonseca Vintage Port1994</v>
      </c>
      <c r="E246">
        <f t="shared" si="15"/>
        <v>1</v>
      </c>
      <c r="F246" t="s">
        <v>554</v>
      </c>
      <c r="G246" t="s">
        <v>555</v>
      </c>
      <c r="H246" t="s">
        <v>556</v>
      </c>
      <c r="I246" t="str">
        <f t="shared" si="13"/>
        <v>S000247Fonseca Vintage Port1994</v>
      </c>
      <c r="J246">
        <f t="shared" si="16"/>
        <v>1</v>
      </c>
    </row>
    <row r="247" spans="1:10">
      <c r="A247" t="s">
        <v>558</v>
      </c>
      <c r="B247" t="s">
        <v>559</v>
      </c>
      <c r="C247" t="s">
        <v>56</v>
      </c>
      <c r="D247" t="str">
        <f t="shared" si="14"/>
        <v>S000248Domaine Fontaine-Gagnard Chassagne-Montrachet 'Clos Saint-Jean' Premier Cru2021</v>
      </c>
      <c r="E247">
        <f t="shared" si="15"/>
        <v>1</v>
      </c>
      <c r="F247" t="s">
        <v>558</v>
      </c>
      <c r="G247" t="s">
        <v>559</v>
      </c>
      <c r="H247" t="s">
        <v>56</v>
      </c>
      <c r="I247" t="str">
        <f t="shared" si="13"/>
        <v>S000248Domaine Fontaine-Gagnard Chassagne-Montrachet 'Clos Saint-Jean' Premier Cru2021</v>
      </c>
      <c r="J247">
        <f t="shared" si="16"/>
        <v>1</v>
      </c>
    </row>
    <row r="248" spans="1:10">
      <c r="A248" t="s">
        <v>560</v>
      </c>
      <c r="B248" t="s">
        <v>561</v>
      </c>
      <c r="C248" t="s">
        <v>114</v>
      </c>
      <c r="D248" t="str">
        <f t="shared" si="14"/>
        <v>S000249Domaine Forey Pere et Fils Vosne-Romanée2014</v>
      </c>
      <c r="E248">
        <f t="shared" si="15"/>
        <v>1</v>
      </c>
      <c r="F248" t="s">
        <v>560</v>
      </c>
      <c r="G248" t="s">
        <v>561</v>
      </c>
      <c r="H248" t="s">
        <v>114</v>
      </c>
      <c r="I248" t="str">
        <f t="shared" si="13"/>
        <v>S000249Domaine Forey Pere et Fils Vosne-Romanée2014</v>
      </c>
      <c r="J248">
        <f t="shared" si="16"/>
        <v>1</v>
      </c>
    </row>
    <row r="249" spans="1:10">
      <c r="A249" t="s">
        <v>562</v>
      </c>
      <c r="B249" t="s">
        <v>561</v>
      </c>
      <c r="C249" t="s">
        <v>129</v>
      </c>
      <c r="D249" t="str">
        <f t="shared" si="14"/>
        <v>S000250Domaine Forey Pere et Fils Vosne-Romanée2016</v>
      </c>
      <c r="E249">
        <f t="shared" si="15"/>
        <v>1</v>
      </c>
      <c r="F249" t="s">
        <v>562</v>
      </c>
      <c r="G249" t="s">
        <v>561</v>
      </c>
      <c r="H249" t="s">
        <v>129</v>
      </c>
      <c r="I249" t="str">
        <f t="shared" si="13"/>
        <v>S000250Domaine Forey Pere et Fils Vosne-Romanée2016</v>
      </c>
      <c r="J249">
        <f t="shared" si="16"/>
        <v>1</v>
      </c>
    </row>
    <row r="250" spans="1:10">
      <c r="A250" t="s">
        <v>563</v>
      </c>
      <c r="B250" t="s">
        <v>564</v>
      </c>
      <c r="C250" t="s">
        <v>137</v>
      </c>
      <c r="D250" t="str">
        <f t="shared" si="14"/>
        <v>S000251Domaine Fourrier Bourgogne Rouge2017</v>
      </c>
      <c r="E250">
        <f t="shared" si="15"/>
        <v>1</v>
      </c>
      <c r="F250" t="s">
        <v>563</v>
      </c>
      <c r="G250" t="s">
        <v>564</v>
      </c>
      <c r="H250" t="s">
        <v>137</v>
      </c>
      <c r="I250" t="str">
        <f t="shared" si="13"/>
        <v>S000251Domaine Fourrier Bourgogne Rouge2017</v>
      </c>
      <c r="J250">
        <f t="shared" si="16"/>
        <v>1</v>
      </c>
    </row>
    <row r="251" spans="1:10">
      <c r="A251" t="s">
        <v>565</v>
      </c>
      <c r="B251" t="s">
        <v>564</v>
      </c>
      <c r="C251" t="s">
        <v>118</v>
      </c>
      <c r="D251" t="str">
        <f t="shared" si="14"/>
        <v>S000252Domaine Fourrier Bourgogne Rouge2018</v>
      </c>
      <c r="E251">
        <f t="shared" si="15"/>
        <v>1</v>
      </c>
      <c r="F251" t="s">
        <v>565</v>
      </c>
      <c r="G251" t="s">
        <v>564</v>
      </c>
      <c r="H251" t="s">
        <v>118</v>
      </c>
      <c r="I251" t="str">
        <f t="shared" si="13"/>
        <v>S000252Domaine Fourrier Bourgogne Rouge2018</v>
      </c>
      <c r="J251">
        <f t="shared" si="16"/>
        <v>1</v>
      </c>
    </row>
    <row r="252" spans="1:10">
      <c r="A252" t="s">
        <v>566</v>
      </c>
      <c r="B252" t="s">
        <v>564</v>
      </c>
      <c r="C252" t="s">
        <v>92</v>
      </c>
      <c r="D252" t="str">
        <f t="shared" si="14"/>
        <v>S000253Domaine Fourrier Bourgogne Rouge2020</v>
      </c>
      <c r="E252">
        <f t="shared" si="15"/>
        <v>1</v>
      </c>
      <c r="F252" t="s">
        <v>566</v>
      </c>
      <c r="G252" t="s">
        <v>564</v>
      </c>
      <c r="H252" t="s">
        <v>92</v>
      </c>
      <c r="I252" t="str">
        <f t="shared" si="13"/>
        <v>S000253Domaine Fourrier Bourgogne Rouge2020</v>
      </c>
      <c r="J252">
        <f t="shared" si="16"/>
        <v>1</v>
      </c>
    </row>
    <row r="253" spans="1:10">
      <c r="A253" t="s">
        <v>567</v>
      </c>
      <c r="B253" t="s">
        <v>568</v>
      </c>
      <c r="C253" t="s">
        <v>114</v>
      </c>
      <c r="D253" t="str">
        <f t="shared" si="14"/>
        <v>S000254Domaine Fourrier Chambertin Grand Cru Vieille Vigne2014</v>
      </c>
      <c r="E253">
        <f t="shared" si="15"/>
        <v>1</v>
      </c>
      <c r="F253" t="s">
        <v>567</v>
      </c>
      <c r="G253" t="s">
        <v>568</v>
      </c>
      <c r="H253" t="s">
        <v>114</v>
      </c>
      <c r="I253" t="str">
        <f t="shared" si="13"/>
        <v>S000254Domaine Fourrier Chambertin Grand Cru Vieille Vigne2014</v>
      </c>
      <c r="J253">
        <f t="shared" si="16"/>
        <v>1</v>
      </c>
    </row>
    <row r="254" spans="1:10">
      <c r="A254" t="s">
        <v>569</v>
      </c>
      <c r="B254" t="s">
        <v>570</v>
      </c>
      <c r="C254" t="s">
        <v>137</v>
      </c>
      <c r="D254" t="str">
        <f t="shared" si="14"/>
        <v>S000255Domaine Fourrier Chambolle-Musigny 'Aux Echanges' Vieilles Vignes Premier Cru2017</v>
      </c>
      <c r="E254">
        <f t="shared" si="15"/>
        <v>1</v>
      </c>
      <c r="F254" t="s">
        <v>569</v>
      </c>
      <c r="G254" t="s">
        <v>570</v>
      </c>
      <c r="H254" t="s">
        <v>137</v>
      </c>
      <c r="I254" t="str">
        <f t="shared" si="13"/>
        <v>S000255Domaine Fourrier Chambolle-Musigny 'Aux Echanges' Vieilles Vignes Premier Cru2017</v>
      </c>
      <c r="J254">
        <f t="shared" si="16"/>
        <v>1</v>
      </c>
    </row>
    <row r="255" spans="1:10">
      <c r="A255" t="s">
        <v>571</v>
      </c>
      <c r="B255" t="s">
        <v>572</v>
      </c>
      <c r="C255" t="s">
        <v>111</v>
      </c>
      <c r="D255" t="str">
        <f t="shared" si="14"/>
        <v>S000256Domaine Fourrier Échézeaux Grand Cru Vieilles Vignes2013</v>
      </c>
      <c r="E255">
        <f t="shared" si="15"/>
        <v>1</v>
      </c>
      <c r="F255" t="s">
        <v>571</v>
      </c>
      <c r="G255" t="s">
        <v>572</v>
      </c>
      <c r="H255" t="s">
        <v>111</v>
      </c>
      <c r="I255" t="str">
        <f t="shared" si="13"/>
        <v>S000256Domaine Fourrier Échézeaux Grand Cru Vieilles Vignes2013</v>
      </c>
      <c r="J255">
        <f t="shared" si="16"/>
        <v>1</v>
      </c>
    </row>
    <row r="256" spans="1:10">
      <c r="A256" t="s">
        <v>573</v>
      </c>
      <c r="B256" t="s">
        <v>572</v>
      </c>
      <c r="C256" t="s">
        <v>114</v>
      </c>
      <c r="D256" t="str">
        <f t="shared" si="14"/>
        <v>S000257Domaine Fourrier Échézeaux Grand Cru Vieilles Vignes2014</v>
      </c>
      <c r="E256">
        <f t="shared" si="15"/>
        <v>1</v>
      </c>
      <c r="F256" t="s">
        <v>573</v>
      </c>
      <c r="G256" t="s">
        <v>572</v>
      </c>
      <c r="H256" t="s">
        <v>114</v>
      </c>
      <c r="I256" t="str">
        <f t="shared" si="13"/>
        <v>S000257Domaine Fourrier Échézeaux Grand Cru Vieilles Vignes2014</v>
      </c>
      <c r="J256">
        <f t="shared" si="16"/>
        <v>1</v>
      </c>
    </row>
    <row r="257" spans="1:10">
      <c r="A257" t="s">
        <v>574</v>
      </c>
      <c r="B257" t="s">
        <v>575</v>
      </c>
      <c r="C257" t="s">
        <v>114</v>
      </c>
      <c r="D257" t="str">
        <f t="shared" si="14"/>
        <v>S000258Domaine Fourrier Gevrey-Chambertin Vieilles Vignes2014</v>
      </c>
      <c r="E257">
        <f t="shared" si="15"/>
        <v>1</v>
      </c>
      <c r="F257" t="s">
        <v>574</v>
      </c>
      <c r="G257" t="s">
        <v>575</v>
      </c>
      <c r="H257" t="s">
        <v>114</v>
      </c>
      <c r="I257" t="str">
        <f t="shared" ref="I257:I320" si="17">F257&amp;G257&amp;H257</f>
        <v>S000258Domaine Fourrier Gevrey-Chambertin Vieilles Vignes2014</v>
      </c>
      <c r="J257">
        <f t="shared" si="16"/>
        <v>1</v>
      </c>
    </row>
    <row r="258" spans="1:10">
      <c r="A258" t="s">
        <v>576</v>
      </c>
      <c r="B258" t="s">
        <v>575</v>
      </c>
      <c r="C258" t="s">
        <v>137</v>
      </c>
      <c r="D258" t="str">
        <f t="shared" si="14"/>
        <v>S000259Domaine Fourrier Gevrey-Chambertin Vieilles Vignes2017</v>
      </c>
      <c r="E258">
        <f t="shared" si="15"/>
        <v>1</v>
      </c>
      <c r="F258" t="s">
        <v>576</v>
      </c>
      <c r="G258" t="s">
        <v>575</v>
      </c>
      <c r="H258" t="s">
        <v>137</v>
      </c>
      <c r="I258" t="str">
        <f t="shared" si="17"/>
        <v>S000259Domaine Fourrier Gevrey-Chambertin Vieilles Vignes2017</v>
      </c>
      <c r="J258">
        <f t="shared" si="16"/>
        <v>1</v>
      </c>
    </row>
    <row r="259" spans="1:10">
      <c r="A259" t="s">
        <v>577</v>
      </c>
      <c r="B259" t="s">
        <v>575</v>
      </c>
      <c r="C259" t="s">
        <v>81</v>
      </c>
      <c r="D259" t="str">
        <f t="shared" ref="D259:D322" si="18">A259&amp;B259&amp;C259</f>
        <v>S000260Domaine Fourrier Gevrey-Chambertin Vieilles Vignes2019</v>
      </c>
      <c r="E259">
        <f t="shared" ref="E259:E322" si="19">IF(A259=F259,1,0)</f>
        <v>1</v>
      </c>
      <c r="F259" t="s">
        <v>577</v>
      </c>
      <c r="G259" t="s">
        <v>575</v>
      </c>
      <c r="H259" t="s">
        <v>81</v>
      </c>
      <c r="I259" t="str">
        <f t="shared" si="17"/>
        <v>S000260Domaine Fourrier Gevrey-Chambertin Vieilles Vignes2019</v>
      </c>
      <c r="J259">
        <f t="shared" ref="J259:J322" si="20">IF(D259=I259,1,0)</f>
        <v>1</v>
      </c>
    </row>
    <row r="260" spans="1:10">
      <c r="A260" t="s">
        <v>578</v>
      </c>
      <c r="B260" t="s">
        <v>579</v>
      </c>
      <c r="C260" t="s">
        <v>114</v>
      </c>
      <c r="D260" t="str">
        <f t="shared" si="18"/>
        <v>S000261Domaine Fourrier Gevrey-Chambertin 'Les Cherbaudes' Vieilles Vignes Premier Cru2014</v>
      </c>
      <c r="E260">
        <f t="shared" si="19"/>
        <v>1</v>
      </c>
      <c r="F260" t="s">
        <v>578</v>
      </c>
      <c r="G260" t="s">
        <v>579</v>
      </c>
      <c r="H260" t="s">
        <v>114</v>
      </c>
      <c r="I260" t="str">
        <f t="shared" si="17"/>
        <v>S000261Domaine Fourrier Gevrey-Chambertin 'Les Cherbaudes' Vieilles Vignes Premier Cru2014</v>
      </c>
      <c r="J260">
        <f t="shared" si="20"/>
        <v>1</v>
      </c>
    </row>
    <row r="261" spans="1:10">
      <c r="A261" t="s">
        <v>580</v>
      </c>
      <c r="B261" t="s">
        <v>579</v>
      </c>
      <c r="C261" t="s">
        <v>137</v>
      </c>
      <c r="D261" t="str">
        <f t="shared" si="18"/>
        <v>S000262Domaine Fourrier Gevrey-Chambertin 'Les Cherbaudes' Vieilles Vignes Premier Cru2017</v>
      </c>
      <c r="E261">
        <f t="shared" si="19"/>
        <v>1</v>
      </c>
      <c r="F261" t="s">
        <v>580</v>
      </c>
      <c r="G261" t="s">
        <v>579</v>
      </c>
      <c r="H261" t="s">
        <v>137</v>
      </c>
      <c r="I261" t="str">
        <f t="shared" si="17"/>
        <v>S000262Domaine Fourrier Gevrey-Chambertin 'Les Cherbaudes' Vieilles Vignes Premier Cru2017</v>
      </c>
      <c r="J261">
        <f t="shared" si="20"/>
        <v>1</v>
      </c>
    </row>
    <row r="262" spans="1:10">
      <c r="A262" t="s">
        <v>581</v>
      </c>
      <c r="B262" t="s">
        <v>582</v>
      </c>
      <c r="C262" t="s">
        <v>133</v>
      </c>
      <c r="D262" t="str">
        <f t="shared" si="18"/>
        <v>S000263Domaine Fourrier Gevrey-Chambertin 'Clos Saint-Jacques' Premier Cru2007</v>
      </c>
      <c r="E262">
        <f t="shared" si="19"/>
        <v>1</v>
      </c>
      <c r="F262" t="s">
        <v>581</v>
      </c>
      <c r="G262" t="s">
        <v>582</v>
      </c>
      <c r="H262" t="s">
        <v>133</v>
      </c>
      <c r="I262" t="str">
        <f t="shared" si="17"/>
        <v>S000263Domaine Fourrier Gevrey-Chambertin 'Clos Saint-Jacques' Premier Cru2007</v>
      </c>
      <c r="J262">
        <f t="shared" si="20"/>
        <v>1</v>
      </c>
    </row>
    <row r="263" spans="1:10">
      <c r="A263" t="s">
        <v>583</v>
      </c>
      <c r="B263" t="s">
        <v>582</v>
      </c>
      <c r="C263" t="s">
        <v>125</v>
      </c>
      <c r="D263" t="str">
        <f t="shared" si="18"/>
        <v>S000264Domaine Fourrier Gevrey-Chambertin 'Clos Saint-Jacques' Premier Cru2008</v>
      </c>
      <c r="E263">
        <f t="shared" si="19"/>
        <v>1</v>
      </c>
      <c r="F263" t="s">
        <v>583</v>
      </c>
      <c r="G263" t="s">
        <v>582</v>
      </c>
      <c r="H263" t="s">
        <v>125</v>
      </c>
      <c r="I263" t="str">
        <f t="shared" si="17"/>
        <v>S000264Domaine Fourrier Gevrey-Chambertin 'Clos Saint-Jacques' Premier Cru2008</v>
      </c>
      <c r="J263">
        <f t="shared" si="20"/>
        <v>1</v>
      </c>
    </row>
    <row r="264" spans="1:10">
      <c r="A264" t="s">
        <v>584</v>
      </c>
      <c r="B264" t="s">
        <v>585</v>
      </c>
      <c r="C264" t="s">
        <v>92</v>
      </c>
      <c r="D264" t="str">
        <f t="shared" si="18"/>
        <v>S000265Domaine Fourrier Gevrey-Chambertin 'La Combe Aux Moines' Vieilles Vignes Premier Cru2020</v>
      </c>
      <c r="E264">
        <f t="shared" si="19"/>
        <v>1</v>
      </c>
      <c r="F264" t="s">
        <v>584</v>
      </c>
      <c r="G264" t="s">
        <v>585</v>
      </c>
      <c r="H264" t="s">
        <v>92</v>
      </c>
      <c r="I264" t="str">
        <f t="shared" si="17"/>
        <v>S000265Domaine Fourrier Gevrey-Chambertin 'La Combe Aux Moines' Vieilles Vignes Premier Cru2020</v>
      </c>
      <c r="J264">
        <f t="shared" si="20"/>
        <v>1</v>
      </c>
    </row>
    <row r="265" spans="1:10">
      <c r="A265" t="s">
        <v>586</v>
      </c>
      <c r="B265" t="s">
        <v>585</v>
      </c>
      <c r="C265" t="s">
        <v>137</v>
      </c>
      <c r="D265" t="str">
        <f t="shared" si="18"/>
        <v>S000266Domaine Fourrier Gevrey-Chambertin 'La Combe Aux Moines' Vieilles Vignes Premier Cru2017</v>
      </c>
      <c r="E265">
        <f t="shared" si="19"/>
        <v>1</v>
      </c>
      <c r="F265" t="s">
        <v>586</v>
      </c>
      <c r="G265" t="s">
        <v>585</v>
      </c>
      <c r="H265" t="s">
        <v>137</v>
      </c>
      <c r="I265" t="str">
        <f t="shared" si="17"/>
        <v>S000266Domaine Fourrier Gevrey-Chambertin 'La Combe Aux Moines' Vieilles Vignes Premier Cru2017</v>
      </c>
      <c r="J265">
        <f t="shared" si="20"/>
        <v>1</v>
      </c>
    </row>
    <row r="266" spans="1:10">
      <c r="A266" t="s">
        <v>587</v>
      </c>
      <c r="B266" t="s">
        <v>575</v>
      </c>
      <c r="C266" t="s">
        <v>114</v>
      </c>
      <c r="D266" t="str">
        <f t="shared" si="18"/>
        <v>S000267Domaine Fourrier Gevrey-Chambertin Vieilles Vignes2014</v>
      </c>
      <c r="E266">
        <f t="shared" si="19"/>
        <v>1</v>
      </c>
      <c r="F266" t="s">
        <v>587</v>
      </c>
      <c r="G266" t="s">
        <v>575</v>
      </c>
      <c r="H266" t="s">
        <v>114</v>
      </c>
      <c r="I266" t="str">
        <f t="shared" si="17"/>
        <v>S000267Domaine Fourrier Gevrey-Chambertin Vieilles Vignes2014</v>
      </c>
      <c r="J266">
        <f t="shared" si="20"/>
        <v>1</v>
      </c>
    </row>
    <row r="267" spans="1:10">
      <c r="A267" t="s">
        <v>588</v>
      </c>
      <c r="B267" t="s">
        <v>575</v>
      </c>
      <c r="C267" t="s">
        <v>92</v>
      </c>
      <c r="D267" t="str">
        <f t="shared" si="18"/>
        <v>S000268Domaine Fourrier Gevrey-Chambertin Vieilles Vignes2020</v>
      </c>
      <c r="E267">
        <f t="shared" si="19"/>
        <v>1</v>
      </c>
      <c r="F267" t="s">
        <v>588</v>
      </c>
      <c r="G267" t="s">
        <v>575</v>
      </c>
      <c r="H267" t="s">
        <v>92</v>
      </c>
      <c r="I267" t="str">
        <f t="shared" si="17"/>
        <v>S000268Domaine Fourrier Gevrey-Chambertin Vieilles Vignes2020</v>
      </c>
      <c r="J267">
        <f t="shared" si="20"/>
        <v>1</v>
      </c>
    </row>
    <row r="268" spans="1:10">
      <c r="A268" t="s">
        <v>589</v>
      </c>
      <c r="B268" t="s">
        <v>590</v>
      </c>
      <c r="C268" t="s">
        <v>129</v>
      </c>
      <c r="D268" t="str">
        <f t="shared" si="18"/>
        <v>S000269Domaine Fourrier Mazoyeres-Chambertin Grand Cru Vieille Vigne2016</v>
      </c>
      <c r="E268">
        <f t="shared" si="19"/>
        <v>1</v>
      </c>
      <c r="F268" t="s">
        <v>589</v>
      </c>
      <c r="G268" t="s">
        <v>590</v>
      </c>
      <c r="H268" t="s">
        <v>129</v>
      </c>
      <c r="I268" t="str">
        <f t="shared" si="17"/>
        <v>S000269Domaine Fourrier Mazoyeres-Chambertin Grand Cru Vieille Vigne2016</v>
      </c>
      <c r="J268">
        <f t="shared" si="20"/>
        <v>1</v>
      </c>
    </row>
    <row r="269" spans="1:10">
      <c r="A269" t="s">
        <v>591</v>
      </c>
      <c r="B269" t="s">
        <v>592</v>
      </c>
      <c r="C269" t="s">
        <v>222</v>
      </c>
      <c r="D269" t="str">
        <f t="shared" si="18"/>
        <v>S000270Domaine Fourrier Morey-Saint-Denis 'Clos Solon' Vieilles Vignes2015</v>
      </c>
      <c r="E269">
        <f t="shared" si="19"/>
        <v>1</v>
      </c>
      <c r="F269" t="s">
        <v>591</v>
      </c>
      <c r="G269" t="s">
        <v>592</v>
      </c>
      <c r="H269" t="s">
        <v>222</v>
      </c>
      <c r="I269" t="str">
        <f t="shared" si="17"/>
        <v>S000270Domaine Fourrier Morey-Saint-Denis 'Clos Solon' Vieilles Vignes2015</v>
      </c>
      <c r="J269">
        <f t="shared" si="20"/>
        <v>1</v>
      </c>
    </row>
    <row r="270" spans="1:10">
      <c r="A270" t="s">
        <v>593</v>
      </c>
      <c r="B270" t="s">
        <v>594</v>
      </c>
      <c r="C270" t="s">
        <v>118</v>
      </c>
      <c r="D270" t="str">
        <f t="shared" si="18"/>
        <v>S000271Domaine Fourrier Vougeot 'Les Petits Vougeots' Vieilles Vignes Premier Cru2018</v>
      </c>
      <c r="E270">
        <f t="shared" si="19"/>
        <v>1</v>
      </c>
      <c r="F270" t="s">
        <v>593</v>
      </c>
      <c r="G270" t="s">
        <v>594</v>
      </c>
      <c r="H270" t="s">
        <v>118</v>
      </c>
      <c r="I270" t="str">
        <f t="shared" si="17"/>
        <v>S000271Domaine Fourrier Vougeot 'Les Petits Vougeots' Vieilles Vignes Premier Cru2018</v>
      </c>
      <c r="J270">
        <f t="shared" si="20"/>
        <v>1</v>
      </c>
    </row>
    <row r="271" spans="1:10">
      <c r="A271" t="s">
        <v>595</v>
      </c>
      <c r="B271" t="s">
        <v>596</v>
      </c>
      <c r="C271" t="s">
        <v>56</v>
      </c>
      <c r="D271" t="str">
        <f t="shared" si="18"/>
        <v>S000272Francois Confuron-Gindre Vosne-Romanée2021</v>
      </c>
      <c r="E271">
        <f t="shared" si="19"/>
        <v>1</v>
      </c>
      <c r="F271" t="s">
        <v>595</v>
      </c>
      <c r="G271" t="s">
        <v>596</v>
      </c>
      <c r="H271" t="s">
        <v>56</v>
      </c>
      <c r="I271" t="str">
        <f t="shared" si="17"/>
        <v>S000272Francois Confuron-Gindre Vosne-Romanée2021</v>
      </c>
      <c r="J271">
        <f t="shared" si="20"/>
        <v>1</v>
      </c>
    </row>
    <row r="272" spans="1:10">
      <c r="A272" t="s">
        <v>597</v>
      </c>
      <c r="B272" t="s">
        <v>598</v>
      </c>
      <c r="C272" t="s">
        <v>92</v>
      </c>
      <c r="D272" t="str">
        <f t="shared" si="18"/>
        <v>S000273Francois Confuron-Gindre Vosne-Romanée 'Les Beaumonts' Premier Cru2020</v>
      </c>
      <c r="E272">
        <f t="shared" si="19"/>
        <v>1</v>
      </c>
      <c r="F272" t="s">
        <v>597</v>
      </c>
      <c r="G272" t="s">
        <v>598</v>
      </c>
      <c r="H272" t="s">
        <v>92</v>
      </c>
      <c r="I272" t="str">
        <f t="shared" si="17"/>
        <v>S000273Francois Confuron-Gindre Vosne-Romanée 'Les Beaumonts' Premier Cru2020</v>
      </c>
      <c r="J272">
        <f t="shared" si="20"/>
        <v>1</v>
      </c>
    </row>
    <row r="273" spans="1:10">
      <c r="A273" t="s">
        <v>599</v>
      </c>
      <c r="B273" t="s">
        <v>598</v>
      </c>
      <c r="C273" t="s">
        <v>30</v>
      </c>
      <c r="D273" t="str">
        <f t="shared" si="18"/>
        <v>S000274Francois Confuron-Gindre Vosne-Romanée 'Les Beaumonts' Premier Cru2022</v>
      </c>
      <c r="E273">
        <f t="shared" si="19"/>
        <v>1</v>
      </c>
      <c r="F273" t="s">
        <v>599</v>
      </c>
      <c r="G273" t="s">
        <v>598</v>
      </c>
      <c r="H273" t="s">
        <v>30</v>
      </c>
      <c r="I273" t="str">
        <f t="shared" si="17"/>
        <v>S000274Francois Confuron-Gindre Vosne-Romanée 'Les Beaumonts' Premier Cru2022</v>
      </c>
      <c r="J273">
        <f t="shared" si="20"/>
        <v>1</v>
      </c>
    </row>
    <row r="274" spans="1:10">
      <c r="A274" t="s">
        <v>600</v>
      </c>
      <c r="B274" t="s">
        <v>601</v>
      </c>
      <c r="C274" t="s">
        <v>92</v>
      </c>
      <c r="D274" t="str">
        <f t="shared" si="18"/>
        <v>S000275Francois Confuron-Gindre Vosne-Romanée 'Les Brulees' Premier Cru2020</v>
      </c>
      <c r="E274">
        <f t="shared" si="19"/>
        <v>1</v>
      </c>
      <c r="F274" t="s">
        <v>600</v>
      </c>
      <c r="G274" t="s">
        <v>601</v>
      </c>
      <c r="H274" t="s">
        <v>92</v>
      </c>
      <c r="I274" t="str">
        <f t="shared" si="17"/>
        <v>S000275Francois Confuron-Gindre Vosne-Romanée 'Les Brulees' Premier Cru2020</v>
      </c>
      <c r="J274">
        <f t="shared" si="20"/>
        <v>1</v>
      </c>
    </row>
    <row r="275" spans="1:10">
      <c r="A275" t="s">
        <v>602</v>
      </c>
      <c r="B275" t="s">
        <v>601</v>
      </c>
      <c r="C275" t="s">
        <v>30</v>
      </c>
      <c r="D275" t="str">
        <f t="shared" si="18"/>
        <v>S000276Francois Confuron-Gindre Vosne-Romanée 'Les Brulees' Premier Cru2022</v>
      </c>
      <c r="E275">
        <f t="shared" si="19"/>
        <v>1</v>
      </c>
      <c r="F275" t="s">
        <v>602</v>
      </c>
      <c r="G275" t="s">
        <v>601</v>
      </c>
      <c r="H275" t="s">
        <v>30</v>
      </c>
      <c r="I275" t="str">
        <f t="shared" si="17"/>
        <v>S000276Francois Confuron-Gindre Vosne-Romanée 'Les Brulees' Premier Cru2022</v>
      </c>
      <c r="J275">
        <f t="shared" si="20"/>
        <v>1</v>
      </c>
    </row>
    <row r="276" spans="1:10">
      <c r="A276" t="s">
        <v>603</v>
      </c>
      <c r="B276" t="s">
        <v>604</v>
      </c>
      <c r="C276" t="s">
        <v>92</v>
      </c>
      <c r="D276" t="str">
        <f t="shared" si="18"/>
        <v>S000277Francois Confuron-Gindre Vosne-Romanée 'Les Chaumes' Premier Cru2020</v>
      </c>
      <c r="E276">
        <f t="shared" si="19"/>
        <v>1</v>
      </c>
      <c r="F276" t="s">
        <v>603</v>
      </c>
      <c r="G276" t="s">
        <v>604</v>
      </c>
      <c r="H276" t="s">
        <v>92</v>
      </c>
      <c r="I276" t="str">
        <f t="shared" si="17"/>
        <v>S000277Francois Confuron-Gindre Vosne-Romanée 'Les Chaumes' Premier Cru2020</v>
      </c>
      <c r="J276">
        <f t="shared" si="20"/>
        <v>1</v>
      </c>
    </row>
    <row r="277" spans="1:10">
      <c r="A277" t="s">
        <v>605</v>
      </c>
      <c r="B277" t="s">
        <v>604</v>
      </c>
      <c r="C277" t="s">
        <v>56</v>
      </c>
      <c r="D277" t="str">
        <f t="shared" si="18"/>
        <v>S000278Francois Confuron-Gindre Vosne-Romanée 'Les Chaumes' Premier Cru2021</v>
      </c>
      <c r="E277">
        <f t="shared" si="19"/>
        <v>1</v>
      </c>
      <c r="F277" t="s">
        <v>605</v>
      </c>
      <c r="G277" t="s">
        <v>604</v>
      </c>
      <c r="H277" t="s">
        <v>56</v>
      </c>
      <c r="I277" t="str">
        <f t="shared" si="17"/>
        <v>S000278Francois Confuron-Gindre Vosne-Romanée 'Les Chaumes' Premier Cru2021</v>
      </c>
      <c r="J277">
        <f t="shared" si="20"/>
        <v>1</v>
      </c>
    </row>
    <row r="278" spans="1:10">
      <c r="A278" t="s">
        <v>606</v>
      </c>
      <c r="B278" t="s">
        <v>607</v>
      </c>
      <c r="C278" t="s">
        <v>92</v>
      </c>
      <c r="D278" t="str">
        <f t="shared" si="18"/>
        <v>S000279Francois Confuron-Gindre Vosne-Romanée 'Les Suchots' Premier Cru2020</v>
      </c>
      <c r="E278">
        <f t="shared" si="19"/>
        <v>1</v>
      </c>
      <c r="F278" t="s">
        <v>606</v>
      </c>
      <c r="G278" t="s">
        <v>607</v>
      </c>
      <c r="H278" t="s">
        <v>92</v>
      </c>
      <c r="I278" t="str">
        <f t="shared" si="17"/>
        <v>S000279Francois Confuron-Gindre Vosne-Romanée 'Les Suchots' Premier Cru2020</v>
      </c>
      <c r="J278">
        <f t="shared" si="20"/>
        <v>1</v>
      </c>
    </row>
    <row r="279" spans="1:10">
      <c r="A279" t="s">
        <v>608</v>
      </c>
      <c r="B279" t="s">
        <v>609</v>
      </c>
      <c r="C279" t="s">
        <v>139</v>
      </c>
      <c r="D279" t="str">
        <f t="shared" si="18"/>
        <v>S000280Nicole Lamarche Clos-de-Vougeot Grand Cru2010</v>
      </c>
      <c r="E279">
        <f t="shared" si="19"/>
        <v>1</v>
      </c>
      <c r="F279" t="s">
        <v>608</v>
      </c>
      <c r="G279" t="s">
        <v>609</v>
      </c>
      <c r="H279" t="s">
        <v>139</v>
      </c>
      <c r="I279" t="str">
        <f t="shared" si="17"/>
        <v>S000280Nicole Lamarche Clos-de-Vougeot Grand Cru2010</v>
      </c>
      <c r="J279">
        <f t="shared" si="20"/>
        <v>1</v>
      </c>
    </row>
    <row r="280" spans="1:10">
      <c r="A280" t="s">
        <v>610</v>
      </c>
      <c r="B280" t="s">
        <v>611</v>
      </c>
      <c r="C280" t="s">
        <v>111</v>
      </c>
      <c r="D280" t="str">
        <f t="shared" si="18"/>
        <v>S000281Nicole Lamarche Vosne-Romanée 'Aux Malconsorts' Premier Cru2013</v>
      </c>
      <c r="E280">
        <f t="shared" si="19"/>
        <v>1</v>
      </c>
      <c r="F280" t="s">
        <v>610</v>
      </c>
      <c r="G280" t="s">
        <v>611</v>
      </c>
      <c r="H280" t="s">
        <v>111</v>
      </c>
      <c r="I280" t="str">
        <f t="shared" si="17"/>
        <v>S000281Nicole Lamarche Vosne-Romanée 'Aux Malconsorts' Premier Cru2013</v>
      </c>
      <c r="J280">
        <f t="shared" si="20"/>
        <v>1</v>
      </c>
    </row>
    <row r="281" spans="1:10">
      <c r="A281" t="s">
        <v>612</v>
      </c>
      <c r="B281" t="s">
        <v>613</v>
      </c>
      <c r="C281" t="s">
        <v>144</v>
      </c>
      <c r="D281" t="str">
        <f t="shared" si="18"/>
        <v>S000282Francoise Bedel &amp; Fils 'Cuvee Dis Vin Secret' BrutNV</v>
      </c>
      <c r="E281">
        <f t="shared" si="19"/>
        <v>1</v>
      </c>
      <c r="F281" t="s">
        <v>612</v>
      </c>
      <c r="G281" t="s">
        <v>613</v>
      </c>
      <c r="H281" t="s">
        <v>144</v>
      </c>
      <c r="I281" t="str">
        <f t="shared" si="17"/>
        <v>S000282Francoise Bedel &amp; Fils 'Cuvee Dis Vin Secret' BrutNV</v>
      </c>
      <c r="J281">
        <f t="shared" si="20"/>
        <v>1</v>
      </c>
    </row>
    <row r="282" spans="1:10">
      <c r="A282" t="s">
        <v>614</v>
      </c>
      <c r="B282" t="s">
        <v>615</v>
      </c>
      <c r="C282" t="s">
        <v>137</v>
      </c>
      <c r="D282" t="str">
        <f t="shared" si="18"/>
        <v>S000283Francoise Bedel &amp; Fils 'Cuvee Entre Ciel et Terre' Brut2017</v>
      </c>
      <c r="E282">
        <f t="shared" si="19"/>
        <v>1</v>
      </c>
      <c r="F282" t="s">
        <v>614</v>
      </c>
      <c r="G282" t="s">
        <v>615</v>
      </c>
      <c r="H282" t="s">
        <v>137</v>
      </c>
      <c r="I282" t="str">
        <f t="shared" si="17"/>
        <v>S000283Francoise Bedel &amp; Fils 'Cuvee Entre Ciel et Terre' Brut2017</v>
      </c>
      <c r="J282">
        <f t="shared" si="20"/>
        <v>1</v>
      </c>
    </row>
    <row r="283" spans="1:10">
      <c r="A283" t="s">
        <v>616</v>
      </c>
      <c r="B283" t="s">
        <v>617</v>
      </c>
      <c r="C283" t="s">
        <v>92</v>
      </c>
      <c r="D283" t="str">
        <f t="shared" si="18"/>
        <v>S000284Frédéric Cossard (Domaine de Chassorney) Bourgogne Pinot Noir 'En Carran' La Croix de Bernard2020</v>
      </c>
      <c r="E283">
        <f t="shared" si="19"/>
        <v>1</v>
      </c>
      <c r="F283" t="s">
        <v>616</v>
      </c>
      <c r="G283" t="s">
        <v>617</v>
      </c>
      <c r="H283" t="s">
        <v>92</v>
      </c>
      <c r="I283" t="str">
        <f t="shared" si="17"/>
        <v>S000284Frédéric Cossard (Domaine de Chassorney) Bourgogne Pinot Noir 'En Carran' La Croix de Bernard2020</v>
      </c>
      <c r="J283">
        <f t="shared" si="20"/>
        <v>1</v>
      </c>
    </row>
    <row r="284" spans="1:10">
      <c r="A284" t="s">
        <v>618</v>
      </c>
      <c r="B284" t="s">
        <v>619</v>
      </c>
      <c r="C284" t="s">
        <v>92</v>
      </c>
      <c r="D284" t="str">
        <f t="shared" si="18"/>
        <v>S000285Frédéric Cossard (Domaine de Chassorney) Savigny-lès-Beaune 'Les Golardes'2020</v>
      </c>
      <c r="E284">
        <f t="shared" si="19"/>
        <v>1</v>
      </c>
      <c r="F284" t="s">
        <v>618</v>
      </c>
      <c r="G284" t="s">
        <v>619</v>
      </c>
      <c r="H284" t="s">
        <v>92</v>
      </c>
      <c r="I284" t="str">
        <f t="shared" si="17"/>
        <v>S000285Frédéric Cossard (Domaine de Chassorney) Savigny-lès-Beaune 'Les Golardes'2020</v>
      </c>
      <c r="J284">
        <f t="shared" si="20"/>
        <v>1</v>
      </c>
    </row>
    <row r="285" spans="1:10">
      <c r="A285" t="s">
        <v>620</v>
      </c>
      <c r="B285" t="s">
        <v>621</v>
      </c>
      <c r="C285" t="s">
        <v>92</v>
      </c>
      <c r="D285" t="str">
        <f t="shared" si="18"/>
        <v>S000286Frédéric Cossard (Domaine de Chassorney) Volnay 'Qvevris'2020</v>
      </c>
      <c r="E285">
        <f t="shared" si="19"/>
        <v>1</v>
      </c>
      <c r="F285" t="s">
        <v>620</v>
      </c>
      <c r="G285" t="s">
        <v>621</v>
      </c>
      <c r="H285" t="s">
        <v>92</v>
      </c>
      <c r="I285" t="str">
        <f t="shared" si="17"/>
        <v>S000286Frédéric Cossard (Domaine de Chassorney) Volnay 'Qvevris'2020</v>
      </c>
      <c r="J285">
        <f t="shared" si="20"/>
        <v>1</v>
      </c>
    </row>
    <row r="286" spans="1:10">
      <c r="A286" t="s">
        <v>622</v>
      </c>
      <c r="B286" t="s">
        <v>623</v>
      </c>
      <c r="C286" t="s">
        <v>222</v>
      </c>
      <c r="D286" t="str">
        <f t="shared" si="18"/>
        <v>S000287Frédéric Cossard (Domaine de Chassorney) Nuits-Saint-Georges 'Les Damodes' Premier Cru2015</v>
      </c>
      <c r="E286">
        <f t="shared" si="19"/>
        <v>1</v>
      </c>
      <c r="F286" t="s">
        <v>622</v>
      </c>
      <c r="G286" t="s">
        <v>623</v>
      </c>
      <c r="H286" t="s">
        <v>222</v>
      </c>
      <c r="I286" t="str">
        <f t="shared" si="17"/>
        <v>S000287Frédéric Cossard (Domaine de Chassorney) Nuits-Saint-Georges 'Les Damodes' Premier Cru2015</v>
      </c>
      <c r="J286">
        <f t="shared" si="20"/>
        <v>1</v>
      </c>
    </row>
    <row r="287" spans="1:10">
      <c r="A287" t="s">
        <v>624</v>
      </c>
      <c r="B287" t="s">
        <v>623</v>
      </c>
      <c r="C287" t="s">
        <v>129</v>
      </c>
      <c r="D287" t="str">
        <f t="shared" si="18"/>
        <v>S000288Frédéric Cossard (Domaine de Chassorney) Nuits-Saint-Georges 'Les Damodes' Premier Cru2016</v>
      </c>
      <c r="E287">
        <f t="shared" si="19"/>
        <v>1</v>
      </c>
      <c r="F287" t="s">
        <v>624</v>
      </c>
      <c r="G287" t="s">
        <v>623</v>
      </c>
      <c r="H287" t="s">
        <v>129</v>
      </c>
      <c r="I287" t="str">
        <f t="shared" si="17"/>
        <v>S000288Frédéric Cossard (Domaine de Chassorney) Nuits-Saint-Georges 'Les Damodes' Premier Cru2016</v>
      </c>
      <c r="J287">
        <f t="shared" si="20"/>
        <v>1</v>
      </c>
    </row>
    <row r="288" spans="1:10">
      <c r="A288" t="s">
        <v>625</v>
      </c>
      <c r="B288" t="s">
        <v>623</v>
      </c>
      <c r="C288" t="s">
        <v>137</v>
      </c>
      <c r="D288" t="str">
        <f t="shared" si="18"/>
        <v>S000289Frédéric Cossard (Domaine de Chassorney) Nuits-Saint-Georges 'Les Damodes' Premier Cru2017</v>
      </c>
      <c r="E288">
        <f t="shared" si="19"/>
        <v>1</v>
      </c>
      <c r="F288" t="s">
        <v>625</v>
      </c>
      <c r="G288" t="s">
        <v>623</v>
      </c>
      <c r="H288" t="s">
        <v>137</v>
      </c>
      <c r="I288" t="str">
        <f t="shared" si="17"/>
        <v>S000289Frédéric Cossard (Domaine de Chassorney) Nuits-Saint-Georges 'Les Damodes' Premier Cru2017</v>
      </c>
      <c r="J288">
        <f t="shared" si="20"/>
        <v>1</v>
      </c>
    </row>
    <row r="289" spans="1:10">
      <c r="A289" t="s">
        <v>626</v>
      </c>
      <c r="B289" t="s">
        <v>627</v>
      </c>
      <c r="C289" t="s">
        <v>123</v>
      </c>
      <c r="D289" t="str">
        <f t="shared" si="18"/>
        <v>S000290Frederic Lornet Côtes du Jura Vin de Paille2006</v>
      </c>
      <c r="E289">
        <f t="shared" si="19"/>
        <v>1</v>
      </c>
      <c r="F289" t="s">
        <v>626</v>
      </c>
      <c r="G289" t="s">
        <v>627</v>
      </c>
      <c r="H289" t="s">
        <v>123</v>
      </c>
      <c r="I289" t="str">
        <f t="shared" si="17"/>
        <v>S000290Frederic Lornet Côtes du Jura Vin de Paille2006</v>
      </c>
      <c r="J289">
        <f t="shared" si="20"/>
        <v>1</v>
      </c>
    </row>
    <row r="290" spans="1:10">
      <c r="A290" t="s">
        <v>628</v>
      </c>
      <c r="B290" t="s">
        <v>629</v>
      </c>
      <c r="C290" t="s">
        <v>30</v>
      </c>
      <c r="D290" t="str">
        <f t="shared" si="18"/>
        <v>S000291Domaine Yves et Mathilde Gangloff Condrieu2022</v>
      </c>
      <c r="E290">
        <f t="shared" si="19"/>
        <v>1</v>
      </c>
      <c r="F290" t="s">
        <v>628</v>
      </c>
      <c r="G290" t="s">
        <v>629</v>
      </c>
      <c r="H290" t="s">
        <v>30</v>
      </c>
      <c r="I290" t="str">
        <f t="shared" si="17"/>
        <v>S000291Domaine Yves et Mathilde Gangloff Condrieu2022</v>
      </c>
      <c r="J290">
        <f t="shared" si="20"/>
        <v>1</v>
      </c>
    </row>
    <row r="291" spans="1:10">
      <c r="A291" t="s">
        <v>630</v>
      </c>
      <c r="B291" t="s">
        <v>631</v>
      </c>
      <c r="C291" t="s">
        <v>56</v>
      </c>
      <c r="D291" t="str">
        <f t="shared" si="18"/>
        <v>S000292Domaine Yves et Mathilde Gangloff Cote Rotie 'La Barbarine'2021</v>
      </c>
      <c r="E291">
        <f t="shared" si="19"/>
        <v>1</v>
      </c>
      <c r="F291" t="s">
        <v>630</v>
      </c>
      <c r="G291" t="s">
        <v>631</v>
      </c>
      <c r="H291" t="s">
        <v>56</v>
      </c>
      <c r="I291" t="str">
        <f t="shared" si="17"/>
        <v>S000292Domaine Yves et Mathilde Gangloff Cote Rotie 'La Barbarine'2021</v>
      </c>
      <c r="J291">
        <f t="shared" si="20"/>
        <v>1</v>
      </c>
    </row>
    <row r="292" spans="1:10">
      <c r="A292" t="s">
        <v>632</v>
      </c>
      <c r="B292" t="s">
        <v>631</v>
      </c>
      <c r="C292" t="s">
        <v>30</v>
      </c>
      <c r="D292" t="str">
        <f t="shared" si="18"/>
        <v>S000293Domaine Yves et Mathilde Gangloff Cote Rotie 'La Barbarine'2022</v>
      </c>
      <c r="E292">
        <f t="shared" si="19"/>
        <v>1</v>
      </c>
      <c r="F292" t="s">
        <v>632</v>
      </c>
      <c r="G292" t="s">
        <v>631</v>
      </c>
      <c r="H292" t="s">
        <v>30</v>
      </c>
      <c r="I292" t="str">
        <f t="shared" si="17"/>
        <v>S000293Domaine Yves et Mathilde Gangloff Cote Rotie 'La Barbarine'2022</v>
      </c>
      <c r="J292">
        <f t="shared" si="20"/>
        <v>1</v>
      </c>
    </row>
    <row r="293" spans="1:10">
      <c r="A293" t="s">
        <v>633</v>
      </c>
      <c r="B293" t="s">
        <v>634</v>
      </c>
      <c r="C293" t="s">
        <v>30</v>
      </c>
      <c r="D293" t="str">
        <f t="shared" si="18"/>
        <v>S000294Domaine Yves et Mathilde Gangloff Cote Rotie 'La Serene Noire'2022</v>
      </c>
      <c r="E293">
        <f t="shared" si="19"/>
        <v>1</v>
      </c>
      <c r="F293" t="s">
        <v>633</v>
      </c>
      <c r="G293" t="s">
        <v>634</v>
      </c>
      <c r="H293" t="s">
        <v>30</v>
      </c>
      <c r="I293" t="str">
        <f t="shared" si="17"/>
        <v>S000294Domaine Yves et Mathilde Gangloff Cote Rotie 'La Serene Noire'2022</v>
      </c>
      <c r="J293">
        <f t="shared" si="20"/>
        <v>1</v>
      </c>
    </row>
    <row r="294" spans="1:10">
      <c r="A294" t="s">
        <v>635</v>
      </c>
      <c r="B294" t="s">
        <v>636</v>
      </c>
      <c r="C294" t="s">
        <v>129</v>
      </c>
      <c r="D294" t="str">
        <f t="shared" si="18"/>
        <v>S000295Domaine Geantet-Pansiot Charmes-Chambertin Grand Cru2016</v>
      </c>
      <c r="E294">
        <f t="shared" si="19"/>
        <v>1</v>
      </c>
      <c r="F294" t="s">
        <v>635</v>
      </c>
      <c r="G294" t="s">
        <v>636</v>
      </c>
      <c r="H294" t="s">
        <v>129</v>
      </c>
      <c r="I294" t="str">
        <f t="shared" si="17"/>
        <v>S000295Domaine Geantet-Pansiot Charmes-Chambertin Grand Cru2016</v>
      </c>
      <c r="J294">
        <f t="shared" si="20"/>
        <v>1</v>
      </c>
    </row>
    <row r="295" spans="1:10">
      <c r="A295" t="s">
        <v>637</v>
      </c>
      <c r="B295" t="s">
        <v>638</v>
      </c>
      <c r="C295" t="s">
        <v>81</v>
      </c>
      <c r="D295" t="str">
        <f t="shared" si="18"/>
        <v>S000296Domaine Geantet-Pansiot Corton-Charlemagne Grand Cru2019</v>
      </c>
      <c r="E295">
        <f t="shared" si="19"/>
        <v>1</v>
      </c>
      <c r="F295" t="s">
        <v>637</v>
      </c>
      <c r="G295" t="s">
        <v>638</v>
      </c>
      <c r="H295" t="s">
        <v>81</v>
      </c>
      <c r="I295" t="str">
        <f t="shared" si="17"/>
        <v>S000296Domaine Geantet-Pansiot Corton-Charlemagne Grand Cru2019</v>
      </c>
      <c r="J295">
        <f t="shared" si="20"/>
        <v>1</v>
      </c>
    </row>
    <row r="296" spans="1:10">
      <c r="A296" t="s">
        <v>639</v>
      </c>
      <c r="B296" t="s">
        <v>640</v>
      </c>
      <c r="C296" t="s">
        <v>144</v>
      </c>
      <c r="D296" t="str">
        <f t="shared" si="18"/>
        <v>S000297Geoffroy 'Les Houtrants Complantes' Premier Cru Brut NatureNV</v>
      </c>
      <c r="E296">
        <f t="shared" si="19"/>
        <v>1</v>
      </c>
      <c r="F296" t="s">
        <v>639</v>
      </c>
      <c r="G296" t="s">
        <v>640</v>
      </c>
      <c r="H296" t="s">
        <v>144</v>
      </c>
      <c r="I296" t="str">
        <f t="shared" si="17"/>
        <v>S000297Geoffroy 'Les Houtrants Complantes' Premier Cru Brut NatureNV</v>
      </c>
      <c r="J296">
        <f t="shared" si="20"/>
        <v>1</v>
      </c>
    </row>
    <row r="297" spans="1:10">
      <c r="A297" t="s">
        <v>641</v>
      </c>
      <c r="B297" t="s">
        <v>642</v>
      </c>
      <c r="C297" t="s">
        <v>81</v>
      </c>
      <c r="D297" t="str">
        <f t="shared" si="18"/>
        <v>S000298Domaine Georges Chicotot Nuits-Saint-Georges 'Aux Torey' Premier Cru2019</v>
      </c>
      <c r="E297">
        <f t="shared" si="19"/>
        <v>1</v>
      </c>
      <c r="F297" t="s">
        <v>641</v>
      </c>
      <c r="G297" t="s">
        <v>642</v>
      </c>
      <c r="H297" t="s">
        <v>81</v>
      </c>
      <c r="I297" t="str">
        <f t="shared" si="17"/>
        <v>S000298Domaine Georges Chicotot Nuits-Saint-Georges 'Aux Torey' Premier Cru2019</v>
      </c>
      <c r="J297">
        <f t="shared" si="20"/>
        <v>1</v>
      </c>
    </row>
    <row r="298" spans="1:10">
      <c r="A298" t="s">
        <v>643</v>
      </c>
      <c r="B298" t="s">
        <v>644</v>
      </c>
      <c r="C298" t="s">
        <v>111</v>
      </c>
      <c r="D298" t="str">
        <f t="shared" si="18"/>
        <v>S000299Domaine Gerard Mugneret Vosne-Romanée 'Les Brulees' Premier Cru2013</v>
      </c>
      <c r="E298">
        <f t="shared" si="19"/>
        <v>1</v>
      </c>
      <c r="F298" t="s">
        <v>643</v>
      </c>
      <c r="G298" t="s">
        <v>644</v>
      </c>
      <c r="H298" t="s">
        <v>111</v>
      </c>
      <c r="I298" t="str">
        <f t="shared" si="17"/>
        <v>S000299Domaine Gerard Mugneret Vosne-Romanée 'Les Brulees' Premier Cru2013</v>
      </c>
      <c r="J298">
        <f t="shared" si="20"/>
        <v>1</v>
      </c>
    </row>
    <row r="299" spans="1:10">
      <c r="A299" t="s">
        <v>645</v>
      </c>
      <c r="B299" t="s">
        <v>646</v>
      </c>
      <c r="C299" t="s">
        <v>56</v>
      </c>
      <c r="D299" t="str">
        <f t="shared" si="18"/>
        <v>S000300Gerard Raphet Bourgogne Passe-tout-grains2021</v>
      </c>
      <c r="E299">
        <f t="shared" si="19"/>
        <v>1</v>
      </c>
      <c r="F299" t="s">
        <v>645</v>
      </c>
      <c r="G299" t="s">
        <v>646</v>
      </c>
      <c r="H299" t="s">
        <v>56</v>
      </c>
      <c r="I299" t="str">
        <f t="shared" si="17"/>
        <v>S000300Gerard Raphet Bourgogne Passe-tout-grains2021</v>
      </c>
      <c r="J299">
        <f t="shared" si="20"/>
        <v>1</v>
      </c>
    </row>
    <row r="300" spans="1:10">
      <c r="A300" t="s">
        <v>647</v>
      </c>
      <c r="B300" t="s">
        <v>648</v>
      </c>
      <c r="C300" t="s">
        <v>56</v>
      </c>
      <c r="D300" t="str">
        <f t="shared" si="18"/>
        <v>S000301Gerard Raphet Chambertin Clos-de-Beze Grand Cru2021</v>
      </c>
      <c r="E300">
        <f t="shared" si="19"/>
        <v>1</v>
      </c>
      <c r="F300" t="s">
        <v>647</v>
      </c>
      <c r="G300" t="s">
        <v>648</v>
      </c>
      <c r="H300" t="s">
        <v>56</v>
      </c>
      <c r="I300" t="str">
        <f t="shared" si="17"/>
        <v>S000301Gerard Raphet Chambertin Clos-de-Beze Grand Cru2021</v>
      </c>
      <c r="J300">
        <f t="shared" si="20"/>
        <v>1</v>
      </c>
    </row>
    <row r="301" spans="1:10">
      <c r="A301" t="s">
        <v>649</v>
      </c>
      <c r="B301" t="s">
        <v>648</v>
      </c>
      <c r="C301" t="s">
        <v>30</v>
      </c>
      <c r="D301" t="str">
        <f t="shared" si="18"/>
        <v>S000302Gerard Raphet Chambertin Clos-de-Beze Grand Cru2022</v>
      </c>
      <c r="E301">
        <f t="shared" si="19"/>
        <v>1</v>
      </c>
      <c r="F301" t="s">
        <v>649</v>
      </c>
      <c r="G301" t="s">
        <v>648</v>
      </c>
      <c r="H301" t="s">
        <v>30</v>
      </c>
      <c r="I301" t="str">
        <f t="shared" si="17"/>
        <v>S000302Gerard Raphet Chambertin Clos-de-Beze Grand Cru2022</v>
      </c>
      <c r="J301">
        <f t="shared" si="20"/>
        <v>1</v>
      </c>
    </row>
    <row r="302" spans="1:10">
      <c r="A302" t="s">
        <v>650</v>
      </c>
      <c r="B302" t="s">
        <v>651</v>
      </c>
      <c r="C302" t="s">
        <v>289</v>
      </c>
      <c r="D302" t="str">
        <f t="shared" si="18"/>
        <v>S000303Gerard Raphet Chambolle-Musigny2023</v>
      </c>
      <c r="E302">
        <f t="shared" si="19"/>
        <v>1</v>
      </c>
      <c r="F302" t="s">
        <v>650</v>
      </c>
      <c r="G302" t="s">
        <v>651</v>
      </c>
      <c r="H302" t="s">
        <v>289</v>
      </c>
      <c r="I302" t="str">
        <f t="shared" si="17"/>
        <v>S000303Gerard Raphet Chambolle-Musigny2023</v>
      </c>
      <c r="J302">
        <f t="shared" si="20"/>
        <v>1</v>
      </c>
    </row>
    <row r="303" spans="1:10">
      <c r="A303" t="s">
        <v>652</v>
      </c>
      <c r="B303" t="s">
        <v>653</v>
      </c>
      <c r="C303" t="s">
        <v>56</v>
      </c>
      <c r="D303" t="str">
        <f t="shared" si="18"/>
        <v>S000304Gerard Raphet Charmes-Chambertin Grand Cru2021</v>
      </c>
      <c r="E303">
        <f t="shared" si="19"/>
        <v>1</v>
      </c>
      <c r="F303" t="s">
        <v>652</v>
      </c>
      <c r="G303" t="s">
        <v>653</v>
      </c>
      <c r="H303" t="s">
        <v>56</v>
      </c>
      <c r="I303" t="str">
        <f t="shared" si="17"/>
        <v>S000304Gerard Raphet Charmes-Chambertin Grand Cru2021</v>
      </c>
      <c r="J303">
        <f t="shared" si="20"/>
        <v>1</v>
      </c>
    </row>
    <row r="304" spans="1:10">
      <c r="A304" t="s">
        <v>654</v>
      </c>
      <c r="B304" t="s">
        <v>655</v>
      </c>
      <c r="C304" t="s">
        <v>30</v>
      </c>
      <c r="D304" t="str">
        <f t="shared" si="18"/>
        <v>S000305Gerard Raphet Clos de la Roche Grand Cru2022</v>
      </c>
      <c r="E304">
        <f t="shared" si="19"/>
        <v>1</v>
      </c>
      <c r="F304" t="s">
        <v>654</v>
      </c>
      <c r="G304" t="s">
        <v>655</v>
      </c>
      <c r="H304" t="s">
        <v>30</v>
      </c>
      <c r="I304" t="str">
        <f t="shared" si="17"/>
        <v>S000305Gerard Raphet Clos de la Roche Grand Cru2022</v>
      </c>
      <c r="J304">
        <f t="shared" si="20"/>
        <v>1</v>
      </c>
    </row>
    <row r="305" spans="1:10">
      <c r="A305" t="s">
        <v>656</v>
      </c>
      <c r="B305" t="s">
        <v>657</v>
      </c>
      <c r="C305" t="s">
        <v>56</v>
      </c>
      <c r="D305" t="str">
        <f t="shared" si="18"/>
        <v>S000306Gerard Raphet Clos-de-Vougeot Grand Cru Vieilles Vignes2021</v>
      </c>
      <c r="E305">
        <f t="shared" si="19"/>
        <v>1</v>
      </c>
      <c r="F305" t="s">
        <v>656</v>
      </c>
      <c r="G305" t="s">
        <v>657</v>
      </c>
      <c r="H305" t="s">
        <v>56</v>
      </c>
      <c r="I305" t="str">
        <f t="shared" si="17"/>
        <v>S000306Gerard Raphet Clos-de-Vougeot Grand Cru Vieilles Vignes2021</v>
      </c>
      <c r="J305">
        <f t="shared" si="20"/>
        <v>1</v>
      </c>
    </row>
    <row r="306" spans="1:10">
      <c r="A306" t="s">
        <v>658</v>
      </c>
      <c r="B306" t="s">
        <v>657</v>
      </c>
      <c r="C306" t="s">
        <v>30</v>
      </c>
      <c r="D306" t="str">
        <f t="shared" si="18"/>
        <v>S000307Gerard Raphet Clos-de-Vougeot Grand Cru Vieilles Vignes2022</v>
      </c>
      <c r="E306">
        <f t="shared" si="19"/>
        <v>1</v>
      </c>
      <c r="F306" t="s">
        <v>658</v>
      </c>
      <c r="G306" t="s">
        <v>657</v>
      </c>
      <c r="H306" t="s">
        <v>30</v>
      </c>
      <c r="I306" t="str">
        <f t="shared" si="17"/>
        <v>S000307Gerard Raphet Clos-de-Vougeot Grand Cru Vieilles Vignes2022</v>
      </c>
      <c r="J306">
        <f t="shared" si="20"/>
        <v>1</v>
      </c>
    </row>
    <row r="307" spans="1:10">
      <c r="A307" t="s">
        <v>659</v>
      </c>
      <c r="B307" t="s">
        <v>660</v>
      </c>
      <c r="C307" t="s">
        <v>30</v>
      </c>
      <c r="D307" t="str">
        <f t="shared" si="18"/>
        <v>S000308Gerard Raphet Gevrey-Chambertin2022</v>
      </c>
      <c r="E307">
        <f t="shared" si="19"/>
        <v>1</v>
      </c>
      <c r="F307" t="s">
        <v>659</v>
      </c>
      <c r="G307" t="s">
        <v>660</v>
      </c>
      <c r="H307" t="s">
        <v>30</v>
      </c>
      <c r="I307" t="str">
        <f t="shared" si="17"/>
        <v>S000308Gerard Raphet Gevrey-Chambertin2022</v>
      </c>
      <c r="J307">
        <f t="shared" si="20"/>
        <v>1</v>
      </c>
    </row>
    <row r="308" spans="1:10">
      <c r="A308" t="s">
        <v>661</v>
      </c>
      <c r="B308" t="s">
        <v>662</v>
      </c>
      <c r="C308" t="s">
        <v>289</v>
      </c>
      <c r="D308" t="str">
        <f t="shared" si="18"/>
        <v>S000309Gerard Raphet Gevrey-Chambertin 'Lavaux Saint-Jacques' Premier Cru2023</v>
      </c>
      <c r="E308">
        <f t="shared" si="19"/>
        <v>1</v>
      </c>
      <c r="F308" t="s">
        <v>661</v>
      </c>
      <c r="G308" t="s">
        <v>662</v>
      </c>
      <c r="H308" t="s">
        <v>289</v>
      </c>
      <c r="I308" t="str">
        <f t="shared" si="17"/>
        <v>S000309Gerard Raphet Gevrey-Chambertin 'Lavaux Saint-Jacques' Premier Cru2023</v>
      </c>
      <c r="J308">
        <f t="shared" si="20"/>
        <v>1</v>
      </c>
    </row>
    <row r="309" spans="1:10">
      <c r="A309" t="s">
        <v>663</v>
      </c>
      <c r="B309" t="s">
        <v>664</v>
      </c>
      <c r="C309" t="s">
        <v>289</v>
      </c>
      <c r="D309" t="str">
        <f t="shared" si="18"/>
        <v>S000310Gerard Raphet Gevrey-Chambertin 'Les Combottes' Premier Cru2023</v>
      </c>
      <c r="E309">
        <f t="shared" si="19"/>
        <v>1</v>
      </c>
      <c r="F309" t="s">
        <v>663</v>
      </c>
      <c r="G309" t="s">
        <v>664</v>
      </c>
      <c r="H309" t="s">
        <v>289</v>
      </c>
      <c r="I309" t="str">
        <f t="shared" si="17"/>
        <v>S000310Gerard Raphet Gevrey-Chambertin 'Les Combottes' Premier Cru2023</v>
      </c>
      <c r="J309">
        <f t="shared" si="20"/>
        <v>1</v>
      </c>
    </row>
    <row r="310" spans="1:10">
      <c r="A310" t="s">
        <v>665</v>
      </c>
      <c r="B310" t="s">
        <v>666</v>
      </c>
      <c r="C310" t="s">
        <v>30</v>
      </c>
      <c r="D310" t="str">
        <f t="shared" si="18"/>
        <v>S000311Gerard Raphet Morey-Saint-Denis2022</v>
      </c>
      <c r="E310">
        <f t="shared" si="19"/>
        <v>1</v>
      </c>
      <c r="F310" t="s">
        <v>665</v>
      </c>
      <c r="G310" t="s">
        <v>666</v>
      </c>
      <c r="H310" t="s">
        <v>30</v>
      </c>
      <c r="I310" t="str">
        <f t="shared" si="17"/>
        <v>S000311Gerard Raphet Morey-Saint-Denis2022</v>
      </c>
      <c r="J310">
        <f t="shared" si="20"/>
        <v>1</v>
      </c>
    </row>
    <row r="311" spans="1:10">
      <c r="A311" t="s">
        <v>667</v>
      </c>
      <c r="B311" t="s">
        <v>668</v>
      </c>
      <c r="C311" t="s">
        <v>172</v>
      </c>
      <c r="D311" t="str">
        <f t="shared" si="18"/>
        <v>S000312Domaine Ghislaine Barthod Chambolle-Musigny2012</v>
      </c>
      <c r="E311">
        <f t="shared" si="19"/>
        <v>1</v>
      </c>
      <c r="F311" t="s">
        <v>667</v>
      </c>
      <c r="G311" t="s">
        <v>668</v>
      </c>
      <c r="H311" t="s">
        <v>172</v>
      </c>
      <c r="I311" t="str">
        <f t="shared" si="17"/>
        <v>S000312Domaine Ghislaine Barthod Chambolle-Musigny2012</v>
      </c>
      <c r="J311">
        <f t="shared" si="20"/>
        <v>1</v>
      </c>
    </row>
    <row r="312" spans="1:10">
      <c r="A312" t="s">
        <v>669</v>
      </c>
      <c r="B312" t="s">
        <v>668</v>
      </c>
      <c r="C312" t="s">
        <v>118</v>
      </c>
      <c r="D312" t="str">
        <f t="shared" si="18"/>
        <v>S000313Domaine Ghislaine Barthod Chambolle-Musigny2018</v>
      </c>
      <c r="E312">
        <f t="shared" si="19"/>
        <v>1</v>
      </c>
      <c r="F312" t="s">
        <v>669</v>
      </c>
      <c r="G312" t="s">
        <v>668</v>
      </c>
      <c r="H312" t="s">
        <v>118</v>
      </c>
      <c r="I312" t="str">
        <f t="shared" si="17"/>
        <v>S000313Domaine Ghislaine Barthod Chambolle-Musigny2018</v>
      </c>
      <c r="J312">
        <f t="shared" si="20"/>
        <v>1</v>
      </c>
    </row>
    <row r="313" spans="1:10">
      <c r="A313" t="s">
        <v>670</v>
      </c>
      <c r="B313" t="s">
        <v>671</v>
      </c>
      <c r="C313" t="s">
        <v>133</v>
      </c>
      <c r="D313" t="str">
        <f t="shared" si="18"/>
        <v>S000314Domaine Ghislaine Barthod Chambolle-Musigny 'Aux Beaux Bruns' Premier Cru2007</v>
      </c>
      <c r="E313">
        <f t="shared" si="19"/>
        <v>1</v>
      </c>
      <c r="F313" t="s">
        <v>670</v>
      </c>
      <c r="G313" t="s">
        <v>671</v>
      </c>
      <c r="H313" t="s">
        <v>133</v>
      </c>
      <c r="I313" t="str">
        <f t="shared" si="17"/>
        <v>S000314Domaine Ghislaine Barthod Chambolle-Musigny 'Aux Beaux Bruns' Premier Cru2007</v>
      </c>
      <c r="J313">
        <f t="shared" si="20"/>
        <v>1</v>
      </c>
    </row>
    <row r="314" spans="1:10">
      <c r="A314" t="s">
        <v>672</v>
      </c>
      <c r="B314" t="s">
        <v>668</v>
      </c>
      <c r="C314" t="s">
        <v>137</v>
      </c>
      <c r="D314" t="str">
        <f t="shared" si="18"/>
        <v>S000315Domaine Ghislaine Barthod Chambolle-Musigny2017</v>
      </c>
      <c r="E314">
        <f t="shared" si="19"/>
        <v>1</v>
      </c>
      <c r="F314" t="s">
        <v>672</v>
      </c>
      <c r="G314" t="s">
        <v>668</v>
      </c>
      <c r="H314" t="s">
        <v>137</v>
      </c>
      <c r="I314" t="str">
        <f t="shared" si="17"/>
        <v>S000315Domaine Ghislaine Barthod Chambolle-Musigny2017</v>
      </c>
      <c r="J314">
        <f t="shared" si="20"/>
        <v>1</v>
      </c>
    </row>
    <row r="315" spans="1:10">
      <c r="A315" t="s">
        <v>673</v>
      </c>
      <c r="B315" t="s">
        <v>674</v>
      </c>
      <c r="C315" t="s">
        <v>144</v>
      </c>
      <c r="D315" t="str">
        <f t="shared" si="18"/>
        <v>S000316Girard-Bonnet 'A Mi-Chemin' Chardonnay Grand Cru Extra BrutNV</v>
      </c>
      <c r="E315">
        <f t="shared" si="19"/>
        <v>1</v>
      </c>
      <c r="F315" t="s">
        <v>673</v>
      </c>
      <c r="G315" t="s">
        <v>674</v>
      </c>
      <c r="H315" t="s">
        <v>144</v>
      </c>
      <c r="I315" t="str">
        <f t="shared" si="17"/>
        <v>S000316Girard-Bonnet 'A Mi-Chemin' Chardonnay Grand Cru Extra BrutNV</v>
      </c>
      <c r="J315">
        <f t="shared" si="20"/>
        <v>1</v>
      </c>
    </row>
    <row r="316" spans="1:10">
      <c r="A316" t="s">
        <v>675</v>
      </c>
      <c r="B316" t="s">
        <v>676</v>
      </c>
      <c r="C316" t="s">
        <v>123</v>
      </c>
      <c r="D316" t="str">
        <f t="shared" si="18"/>
        <v>S000317Domaine Giraud Chateauneuf-du-Pape 'Grenaches de Pierre'2006</v>
      </c>
      <c r="E316">
        <f t="shared" si="19"/>
        <v>1</v>
      </c>
      <c r="F316" t="s">
        <v>675</v>
      </c>
      <c r="G316" t="s">
        <v>676</v>
      </c>
      <c r="H316" t="s">
        <v>123</v>
      </c>
      <c r="I316" t="str">
        <f t="shared" si="17"/>
        <v>S000317Domaine Giraud Chateauneuf-du-Pape 'Grenaches de Pierre'2006</v>
      </c>
      <c r="J316">
        <f t="shared" si="20"/>
        <v>1</v>
      </c>
    </row>
    <row r="317" spans="1:10">
      <c r="A317" t="s">
        <v>677</v>
      </c>
      <c r="B317" t="s">
        <v>678</v>
      </c>
      <c r="C317" t="s">
        <v>137</v>
      </c>
      <c r="D317" t="str">
        <f t="shared" si="18"/>
        <v>S000318Château Grand Mayne Saint-Émilion Grand Cru2017</v>
      </c>
      <c r="E317">
        <f t="shared" si="19"/>
        <v>1</v>
      </c>
      <c r="F317" t="s">
        <v>677</v>
      </c>
      <c r="G317" t="s">
        <v>678</v>
      </c>
      <c r="H317" t="s">
        <v>137</v>
      </c>
      <c r="I317" t="str">
        <f t="shared" si="17"/>
        <v>S000318Château Grand Mayne Saint-Émilion Grand Cru2017</v>
      </c>
      <c r="J317">
        <f t="shared" si="20"/>
        <v>1</v>
      </c>
    </row>
    <row r="318" spans="1:10">
      <c r="A318" t="s">
        <v>679</v>
      </c>
      <c r="B318" t="s">
        <v>680</v>
      </c>
      <c r="C318" t="s">
        <v>81</v>
      </c>
      <c r="D318" t="str">
        <f t="shared" si="18"/>
        <v>S000319Château Grand-Pontet Saint-Émilion Grand Cru2019</v>
      </c>
      <c r="E318">
        <f t="shared" si="19"/>
        <v>1</v>
      </c>
      <c r="F318" t="s">
        <v>679</v>
      </c>
      <c r="G318" t="s">
        <v>680</v>
      </c>
      <c r="H318" t="s">
        <v>81</v>
      </c>
      <c r="I318" t="str">
        <f t="shared" si="17"/>
        <v>S000319Château Grand-Pontet Saint-Émilion Grand Cru2019</v>
      </c>
      <c r="J318">
        <f t="shared" si="20"/>
        <v>1</v>
      </c>
    </row>
    <row r="319" spans="1:10">
      <c r="A319" t="s">
        <v>681</v>
      </c>
      <c r="B319" t="s">
        <v>682</v>
      </c>
      <c r="C319" t="s">
        <v>137</v>
      </c>
      <c r="D319" t="str">
        <f t="shared" si="18"/>
        <v>S000320Château Grand-Puy-Lacoste Pauillac Grand Cru Classé2017</v>
      </c>
      <c r="E319">
        <f t="shared" si="19"/>
        <v>1</v>
      </c>
      <c r="F319" t="s">
        <v>681</v>
      </c>
      <c r="G319" t="s">
        <v>682</v>
      </c>
      <c r="H319" t="s">
        <v>137</v>
      </c>
      <c r="I319" t="str">
        <f t="shared" si="17"/>
        <v>S000320Château Grand-Puy-Lacoste Pauillac Grand Cru Classé2017</v>
      </c>
      <c r="J319">
        <f t="shared" si="20"/>
        <v>1</v>
      </c>
    </row>
    <row r="320" spans="1:10">
      <c r="A320" t="s">
        <v>683</v>
      </c>
      <c r="B320" t="s">
        <v>682</v>
      </c>
      <c r="C320" t="s">
        <v>137</v>
      </c>
      <c r="D320" t="str">
        <f t="shared" si="18"/>
        <v>S000321Château Grand-Puy-Lacoste Pauillac Grand Cru Classé2017</v>
      </c>
      <c r="E320">
        <f t="shared" si="19"/>
        <v>1</v>
      </c>
      <c r="F320" t="s">
        <v>683</v>
      </c>
      <c r="G320" t="s">
        <v>682</v>
      </c>
      <c r="H320" t="s">
        <v>137</v>
      </c>
      <c r="I320" t="str">
        <f t="shared" si="17"/>
        <v>S000321Château Grand-Puy-Lacoste Pauillac Grand Cru Classé2017</v>
      </c>
      <c r="J320">
        <f t="shared" si="20"/>
        <v>1</v>
      </c>
    </row>
    <row r="321" spans="1:10">
      <c r="A321" t="s">
        <v>684</v>
      </c>
      <c r="B321" t="s">
        <v>682</v>
      </c>
      <c r="C321" t="s">
        <v>81</v>
      </c>
      <c r="D321" t="str">
        <f t="shared" si="18"/>
        <v>S000322Château Grand-Puy-Lacoste Pauillac Grand Cru Classé2019</v>
      </c>
      <c r="E321">
        <f t="shared" si="19"/>
        <v>1</v>
      </c>
      <c r="F321" t="s">
        <v>684</v>
      </c>
      <c r="G321" t="s">
        <v>682</v>
      </c>
      <c r="H321" t="s">
        <v>81</v>
      </c>
      <c r="I321" t="str">
        <f t="shared" ref="I321:I384" si="21">F321&amp;G321&amp;H321</f>
        <v>S000322Château Grand-Puy-Lacoste Pauillac Grand Cru Classé2019</v>
      </c>
      <c r="J321">
        <f t="shared" si="20"/>
        <v>1</v>
      </c>
    </row>
    <row r="322" spans="1:10">
      <c r="A322" t="s">
        <v>685</v>
      </c>
      <c r="B322" t="s">
        <v>686</v>
      </c>
      <c r="C322" t="s">
        <v>129</v>
      </c>
      <c r="D322" t="str">
        <f t="shared" si="18"/>
        <v>S000323Château Les Grandes Murailles Saint-Émilion Grand Cru2016</v>
      </c>
      <c r="E322">
        <f t="shared" si="19"/>
        <v>1</v>
      </c>
      <c r="F322" t="s">
        <v>685</v>
      </c>
      <c r="G322" t="s">
        <v>686</v>
      </c>
      <c r="H322" t="s">
        <v>129</v>
      </c>
      <c r="I322" t="str">
        <f t="shared" si="21"/>
        <v>S000323Château Les Grandes Murailles Saint-Émilion Grand Cru2016</v>
      </c>
      <c r="J322">
        <f t="shared" si="20"/>
        <v>1</v>
      </c>
    </row>
    <row r="323" spans="1:10">
      <c r="A323" t="s">
        <v>687</v>
      </c>
      <c r="B323" t="s">
        <v>688</v>
      </c>
      <c r="C323" t="s">
        <v>111</v>
      </c>
      <c r="D323" t="str">
        <f t="shared" ref="D323:D386" si="22">A323&amp;B323&amp;C323</f>
        <v>S000324Domaine de la Grange des Pères2013</v>
      </c>
      <c r="E323">
        <f t="shared" ref="E323:E386" si="23">IF(A323=F323,1,0)</f>
        <v>1</v>
      </c>
      <c r="F323" t="s">
        <v>687</v>
      </c>
      <c r="G323" t="s">
        <v>688</v>
      </c>
      <c r="H323" t="s">
        <v>111</v>
      </c>
      <c r="I323" t="str">
        <f t="shared" si="21"/>
        <v>S000324Domaine de la Grange des Pères2013</v>
      </c>
      <c r="J323">
        <f t="shared" ref="J323:J386" si="24">IF(D323=I323,1,0)</f>
        <v>1</v>
      </c>
    </row>
    <row r="324" spans="1:10">
      <c r="A324" t="s">
        <v>689</v>
      </c>
      <c r="B324" t="s">
        <v>690</v>
      </c>
      <c r="C324" t="s">
        <v>92</v>
      </c>
      <c r="D324" t="str">
        <f t="shared" si="22"/>
        <v>S000325Domaine Gros Frère et Soeur Clos-de-Vougeot Grand Cru2020</v>
      </c>
      <c r="E324">
        <f t="shared" si="23"/>
        <v>1</v>
      </c>
      <c r="F324" t="s">
        <v>689</v>
      </c>
      <c r="G324" t="s">
        <v>690</v>
      </c>
      <c r="H324" t="s">
        <v>92</v>
      </c>
      <c r="I324" t="str">
        <f t="shared" si="21"/>
        <v>S000325Domaine Gros Frère et Soeur Clos-de-Vougeot Grand Cru2020</v>
      </c>
      <c r="J324">
        <f t="shared" si="24"/>
        <v>1</v>
      </c>
    </row>
    <row r="325" spans="1:10">
      <c r="A325" t="s">
        <v>691</v>
      </c>
      <c r="B325" t="s">
        <v>692</v>
      </c>
      <c r="C325" t="s">
        <v>92</v>
      </c>
      <c r="D325" t="str">
        <f t="shared" si="22"/>
        <v>S000326Domaine Gros Frère et Soeur Bourgogne Hautes-Côtes de Nuits2020</v>
      </c>
      <c r="E325">
        <f t="shared" si="23"/>
        <v>1</v>
      </c>
      <c r="F325" t="s">
        <v>691</v>
      </c>
      <c r="G325" t="s">
        <v>692</v>
      </c>
      <c r="H325" t="s">
        <v>92</v>
      </c>
      <c r="I325" t="str">
        <f t="shared" si="21"/>
        <v>S000326Domaine Gros Frère et Soeur Bourgogne Hautes-Côtes de Nuits2020</v>
      </c>
      <c r="J325">
        <f t="shared" si="24"/>
        <v>1</v>
      </c>
    </row>
    <row r="326" spans="1:10">
      <c r="A326" t="s">
        <v>693</v>
      </c>
      <c r="B326" t="s">
        <v>692</v>
      </c>
      <c r="C326" t="s">
        <v>30</v>
      </c>
      <c r="D326" t="str">
        <f t="shared" si="22"/>
        <v>S000327Domaine Gros Frère et Soeur Bourgogne Hautes-Côtes de Nuits2022</v>
      </c>
      <c r="E326">
        <f t="shared" si="23"/>
        <v>1</v>
      </c>
      <c r="F326" t="s">
        <v>693</v>
      </c>
      <c r="G326" t="s">
        <v>692</v>
      </c>
      <c r="H326" t="s">
        <v>30</v>
      </c>
      <c r="I326" t="str">
        <f t="shared" si="21"/>
        <v>S000327Domaine Gros Frère et Soeur Bourgogne Hautes-Côtes de Nuits2022</v>
      </c>
      <c r="J326">
        <f t="shared" si="24"/>
        <v>1</v>
      </c>
    </row>
    <row r="327" spans="1:10">
      <c r="A327" t="s">
        <v>694</v>
      </c>
      <c r="B327" t="s">
        <v>690</v>
      </c>
      <c r="C327" t="s">
        <v>695</v>
      </c>
      <c r="D327" t="str">
        <f t="shared" si="22"/>
        <v>S000328Domaine Gros Frère et Soeur Clos-de-Vougeot Grand Cru1990</v>
      </c>
      <c r="E327">
        <f t="shared" si="23"/>
        <v>1</v>
      </c>
      <c r="F327" t="s">
        <v>694</v>
      </c>
      <c r="G327" t="s">
        <v>690</v>
      </c>
      <c r="H327" t="s">
        <v>695</v>
      </c>
      <c r="I327" t="str">
        <f t="shared" si="21"/>
        <v>S000328Domaine Gros Frère et Soeur Clos-de-Vougeot Grand Cru1990</v>
      </c>
      <c r="J327">
        <f t="shared" si="24"/>
        <v>1</v>
      </c>
    </row>
    <row r="328" spans="1:10">
      <c r="A328" t="s">
        <v>696</v>
      </c>
      <c r="B328" t="s">
        <v>697</v>
      </c>
      <c r="C328" t="s">
        <v>92</v>
      </c>
      <c r="D328" t="str">
        <f t="shared" si="22"/>
        <v>S000329Domaine Gros Frère et Soeur Échézeaux Grand Cru2020</v>
      </c>
      <c r="E328">
        <f t="shared" si="23"/>
        <v>1</v>
      </c>
      <c r="F328" t="s">
        <v>696</v>
      </c>
      <c r="G328" t="s">
        <v>697</v>
      </c>
      <c r="H328" t="s">
        <v>92</v>
      </c>
      <c r="I328" t="str">
        <f t="shared" si="21"/>
        <v>S000329Domaine Gros Frère et Soeur Échézeaux Grand Cru2020</v>
      </c>
      <c r="J328">
        <f t="shared" si="24"/>
        <v>1</v>
      </c>
    </row>
    <row r="329" spans="1:10">
      <c r="A329" t="s">
        <v>698</v>
      </c>
      <c r="B329" t="s">
        <v>699</v>
      </c>
      <c r="C329" t="s">
        <v>133</v>
      </c>
      <c r="D329" t="str">
        <f t="shared" si="22"/>
        <v>S000330Domaine Gros Frère et Soeur Richebourg Grand Cru2007</v>
      </c>
      <c r="E329">
        <f t="shared" si="23"/>
        <v>1</v>
      </c>
      <c r="F329" t="s">
        <v>698</v>
      </c>
      <c r="G329" t="s">
        <v>699</v>
      </c>
      <c r="H329" t="s">
        <v>133</v>
      </c>
      <c r="I329" t="str">
        <f t="shared" si="21"/>
        <v>S000330Domaine Gros Frère et Soeur Richebourg Grand Cru2007</v>
      </c>
      <c r="J329">
        <f t="shared" si="24"/>
        <v>1</v>
      </c>
    </row>
    <row r="330" spans="1:10">
      <c r="A330" t="s">
        <v>700</v>
      </c>
      <c r="B330" t="s">
        <v>699</v>
      </c>
      <c r="C330" t="s">
        <v>139</v>
      </c>
      <c r="D330" t="str">
        <f t="shared" si="22"/>
        <v>S000331Domaine Gros Frère et Soeur Richebourg Grand Cru2010</v>
      </c>
      <c r="E330">
        <f t="shared" si="23"/>
        <v>1</v>
      </c>
      <c r="F330" t="s">
        <v>700</v>
      </c>
      <c r="G330" t="s">
        <v>699</v>
      </c>
      <c r="H330" t="s">
        <v>139</v>
      </c>
      <c r="I330" t="str">
        <f t="shared" si="21"/>
        <v>S000331Domaine Gros Frère et Soeur Richebourg Grand Cru2010</v>
      </c>
      <c r="J330">
        <f t="shared" si="24"/>
        <v>1</v>
      </c>
    </row>
    <row r="331" spans="1:10">
      <c r="A331" t="s">
        <v>701</v>
      </c>
      <c r="B331" t="s">
        <v>702</v>
      </c>
      <c r="C331" t="s">
        <v>56</v>
      </c>
      <c r="D331" t="str">
        <f t="shared" si="22"/>
        <v>S000332Domaine A.F. Gros Bourgogne Pinot Noir2021</v>
      </c>
      <c r="E331">
        <f t="shared" si="23"/>
        <v>1</v>
      </c>
      <c r="F331" t="s">
        <v>701</v>
      </c>
      <c r="G331" t="s">
        <v>702</v>
      </c>
      <c r="H331" t="s">
        <v>56</v>
      </c>
      <c r="I331" t="str">
        <f t="shared" si="21"/>
        <v>S000332Domaine A.F. Gros Bourgogne Pinot Noir2021</v>
      </c>
      <c r="J331">
        <f t="shared" si="24"/>
        <v>1</v>
      </c>
    </row>
    <row r="332" spans="1:10">
      <c r="A332" t="s">
        <v>703</v>
      </c>
      <c r="B332" t="s">
        <v>699</v>
      </c>
      <c r="C332" t="s">
        <v>92</v>
      </c>
      <c r="D332" t="str">
        <f t="shared" si="22"/>
        <v>S000333Domaine Gros Frère et Soeur Richebourg Grand Cru2020</v>
      </c>
      <c r="E332">
        <f t="shared" si="23"/>
        <v>1</v>
      </c>
      <c r="F332" t="s">
        <v>703</v>
      </c>
      <c r="G332" t="s">
        <v>699</v>
      </c>
      <c r="H332" t="s">
        <v>92</v>
      </c>
      <c r="I332" t="str">
        <f t="shared" si="21"/>
        <v>S000333Domaine Gros Frère et Soeur Richebourg Grand Cru2020</v>
      </c>
      <c r="J332">
        <f t="shared" si="24"/>
        <v>1</v>
      </c>
    </row>
    <row r="333" spans="1:10">
      <c r="A333" t="s">
        <v>704</v>
      </c>
      <c r="B333" t="s">
        <v>705</v>
      </c>
      <c r="C333" t="s">
        <v>706</v>
      </c>
      <c r="D333" t="str">
        <f t="shared" si="22"/>
        <v>S000334Château Gruaud-Larose Saint-Julien Grand Cru Classé1986</v>
      </c>
      <c r="E333">
        <f t="shared" si="23"/>
        <v>1</v>
      </c>
      <c r="F333" t="s">
        <v>704</v>
      </c>
      <c r="G333" t="s">
        <v>705</v>
      </c>
      <c r="H333" t="s">
        <v>706</v>
      </c>
      <c r="I333" t="str">
        <f t="shared" si="21"/>
        <v>S000334Château Gruaud-Larose Saint-Julien Grand Cru Classé1986</v>
      </c>
      <c r="J333">
        <f t="shared" si="24"/>
        <v>1</v>
      </c>
    </row>
    <row r="334" spans="1:10">
      <c r="A334" t="s">
        <v>707</v>
      </c>
      <c r="B334" t="s">
        <v>705</v>
      </c>
      <c r="C334" t="s">
        <v>695</v>
      </c>
      <c r="D334" t="str">
        <f t="shared" si="22"/>
        <v>S000335Château Gruaud-Larose Saint-Julien Grand Cru Classé1990</v>
      </c>
      <c r="E334">
        <f t="shared" si="23"/>
        <v>1</v>
      </c>
      <c r="F334" t="s">
        <v>707</v>
      </c>
      <c r="G334" t="s">
        <v>705</v>
      </c>
      <c r="H334" t="s">
        <v>695</v>
      </c>
      <c r="I334" t="str">
        <f t="shared" si="21"/>
        <v>S000335Château Gruaud-Larose Saint-Julien Grand Cru Classé1990</v>
      </c>
      <c r="J334">
        <f t="shared" si="24"/>
        <v>1</v>
      </c>
    </row>
    <row r="335" spans="1:10">
      <c r="A335" t="s">
        <v>708</v>
      </c>
      <c r="B335" t="s">
        <v>709</v>
      </c>
      <c r="C335" t="s">
        <v>710</v>
      </c>
      <c r="D335" t="str">
        <f t="shared" si="22"/>
        <v>S000336Guy Michel &amp; Fils Brut Millesime1999</v>
      </c>
      <c r="E335">
        <f t="shared" si="23"/>
        <v>1</v>
      </c>
      <c r="F335" t="s">
        <v>708</v>
      </c>
      <c r="G335" t="s">
        <v>709</v>
      </c>
      <c r="H335" t="s">
        <v>710</v>
      </c>
      <c r="I335" t="str">
        <f t="shared" si="21"/>
        <v>S000336Guy Michel &amp; Fils Brut Millesime1999</v>
      </c>
      <c r="J335">
        <f t="shared" si="24"/>
        <v>1</v>
      </c>
    </row>
    <row r="336" spans="1:10">
      <c r="A336" t="s">
        <v>711</v>
      </c>
      <c r="B336" t="s">
        <v>712</v>
      </c>
      <c r="C336" t="s">
        <v>713</v>
      </c>
      <c r="D336" t="str">
        <f t="shared" si="22"/>
        <v>S000337Guy Michel &amp; Fils Paris 'Folie' Brut Millesime2000</v>
      </c>
      <c r="E336">
        <f t="shared" si="23"/>
        <v>1</v>
      </c>
      <c r="F336" t="s">
        <v>711</v>
      </c>
      <c r="G336" t="s">
        <v>712</v>
      </c>
      <c r="H336" t="s">
        <v>713</v>
      </c>
      <c r="I336" t="str">
        <f t="shared" si="21"/>
        <v>S000337Guy Michel &amp; Fils Paris 'Folie' Brut Millesime2000</v>
      </c>
      <c r="J336">
        <f t="shared" si="24"/>
        <v>1</v>
      </c>
    </row>
    <row r="337" spans="1:10">
      <c r="A337" t="s">
        <v>714</v>
      </c>
      <c r="B337" t="s">
        <v>715</v>
      </c>
      <c r="C337" t="s">
        <v>111</v>
      </c>
      <c r="D337" t="str">
        <f t="shared" si="22"/>
        <v>S000338Domaine Jean-Pierre Guyon Vosne-Romanée 'Les Brulees' Premier Cru2013</v>
      </c>
      <c r="E337">
        <f t="shared" si="23"/>
        <v>1</v>
      </c>
      <c r="F337" t="s">
        <v>714</v>
      </c>
      <c r="G337" t="s">
        <v>715</v>
      </c>
      <c r="H337" t="s">
        <v>111</v>
      </c>
      <c r="I337" t="str">
        <f t="shared" si="21"/>
        <v>S000338Domaine Jean-Pierre Guyon Vosne-Romanée 'Les Brulees' Premier Cru2013</v>
      </c>
      <c r="J337">
        <f t="shared" si="24"/>
        <v>1</v>
      </c>
    </row>
    <row r="338" spans="1:10">
      <c r="A338" t="s">
        <v>716</v>
      </c>
      <c r="B338" t="s">
        <v>717</v>
      </c>
      <c r="C338" t="s">
        <v>118</v>
      </c>
      <c r="D338" t="str">
        <f t="shared" si="22"/>
        <v>S000339Chateau Haut-Batailley2018</v>
      </c>
      <c r="E338">
        <f t="shared" si="23"/>
        <v>1</v>
      </c>
      <c r="F338" t="s">
        <v>716</v>
      </c>
      <c r="G338" t="s">
        <v>717</v>
      </c>
      <c r="H338" t="s">
        <v>118</v>
      </c>
      <c r="I338" t="str">
        <f t="shared" si="21"/>
        <v>S000339Chateau Haut-Batailley2018</v>
      </c>
      <c r="J338">
        <f t="shared" si="24"/>
        <v>1</v>
      </c>
    </row>
    <row r="339" spans="1:10">
      <c r="A339" t="s">
        <v>718</v>
      </c>
      <c r="B339" t="s">
        <v>719</v>
      </c>
      <c r="C339" t="s">
        <v>129</v>
      </c>
      <c r="D339" t="str">
        <f t="shared" si="22"/>
        <v>S000340Chateau Haut-Bergey2016</v>
      </c>
      <c r="E339">
        <f t="shared" si="23"/>
        <v>1</v>
      </c>
      <c r="F339" t="s">
        <v>718</v>
      </c>
      <c r="G339" t="s">
        <v>719</v>
      </c>
      <c r="H339" t="s">
        <v>129</v>
      </c>
      <c r="I339" t="str">
        <f t="shared" si="21"/>
        <v>S000340Chateau Haut-Bergey2016</v>
      </c>
      <c r="J339">
        <f t="shared" si="24"/>
        <v>1</v>
      </c>
    </row>
    <row r="340" spans="1:10">
      <c r="A340" t="s">
        <v>720</v>
      </c>
      <c r="B340" t="s">
        <v>721</v>
      </c>
      <c r="C340" t="s">
        <v>137</v>
      </c>
      <c r="D340" t="str">
        <f t="shared" si="22"/>
        <v>S000341Chateau Haut-Brion2017</v>
      </c>
      <c r="E340">
        <f t="shared" si="23"/>
        <v>1</v>
      </c>
      <c r="F340" t="s">
        <v>720</v>
      </c>
      <c r="G340" t="s">
        <v>721</v>
      </c>
      <c r="H340" t="s">
        <v>137</v>
      </c>
      <c r="I340" t="str">
        <f t="shared" si="21"/>
        <v>S000341Chateau Haut-Brion2017</v>
      </c>
      <c r="J340">
        <f t="shared" si="24"/>
        <v>1</v>
      </c>
    </row>
    <row r="341" spans="1:10">
      <c r="A341" t="s">
        <v>722</v>
      </c>
      <c r="B341" t="s">
        <v>721</v>
      </c>
      <c r="C341" t="s">
        <v>92</v>
      </c>
      <c r="D341" t="str">
        <f t="shared" si="22"/>
        <v>S000342Chateau Haut-Brion2020</v>
      </c>
      <c r="E341">
        <f t="shared" si="23"/>
        <v>1</v>
      </c>
      <c r="F341" t="s">
        <v>722</v>
      </c>
      <c r="G341" t="s">
        <v>721</v>
      </c>
      <c r="H341" t="s">
        <v>92</v>
      </c>
      <c r="I341" t="str">
        <f t="shared" si="21"/>
        <v>S000342Chateau Haut-Brion2020</v>
      </c>
      <c r="J341">
        <f t="shared" si="24"/>
        <v>1</v>
      </c>
    </row>
    <row r="342" spans="1:10">
      <c r="A342" t="s">
        <v>723</v>
      </c>
      <c r="B342" t="s">
        <v>724</v>
      </c>
      <c r="C342" t="s">
        <v>30</v>
      </c>
      <c r="D342" t="str">
        <f t="shared" si="22"/>
        <v>S000343Domaine Henri Delagrange Hautes Cotes de Beaune2022</v>
      </c>
      <c r="E342">
        <f t="shared" si="23"/>
        <v>1</v>
      </c>
      <c r="F342" t="s">
        <v>723</v>
      </c>
      <c r="G342" t="s">
        <v>724</v>
      </c>
      <c r="H342" t="s">
        <v>30</v>
      </c>
      <c r="I342" t="str">
        <f t="shared" si="21"/>
        <v>S000343Domaine Henri Delagrange Hautes Cotes de Beaune2022</v>
      </c>
      <c r="J342">
        <f t="shared" si="24"/>
        <v>1</v>
      </c>
    </row>
    <row r="343" spans="1:10">
      <c r="A343" t="s">
        <v>725</v>
      </c>
      <c r="B343" t="s">
        <v>726</v>
      </c>
      <c r="C343" t="s">
        <v>92</v>
      </c>
      <c r="D343" t="str">
        <f t="shared" si="22"/>
        <v>S000344Domaine Henri Delagrange Pommard 'Les Bertins' Premier Cru2020</v>
      </c>
      <c r="E343">
        <f t="shared" si="23"/>
        <v>1</v>
      </c>
      <c r="F343" t="s">
        <v>725</v>
      </c>
      <c r="G343" t="s">
        <v>726</v>
      </c>
      <c r="H343" t="s">
        <v>92</v>
      </c>
      <c r="I343" t="str">
        <f t="shared" si="21"/>
        <v>S000344Domaine Henri Delagrange Pommard 'Les Bertins' Premier Cru2020</v>
      </c>
      <c r="J343">
        <f t="shared" si="24"/>
        <v>1</v>
      </c>
    </row>
    <row r="344" spans="1:10">
      <c r="A344" t="s">
        <v>727</v>
      </c>
      <c r="B344" t="s">
        <v>728</v>
      </c>
      <c r="C344" t="s">
        <v>92</v>
      </c>
      <c r="D344" t="str">
        <f t="shared" si="22"/>
        <v>S000345Domaine Henri Delagrange Pommard 'Les Vaumuriens Haut'2020</v>
      </c>
      <c r="E344">
        <f t="shared" si="23"/>
        <v>1</v>
      </c>
      <c r="F344" t="s">
        <v>727</v>
      </c>
      <c r="G344" t="s">
        <v>728</v>
      </c>
      <c r="H344" t="s">
        <v>92</v>
      </c>
      <c r="I344" t="str">
        <f t="shared" si="21"/>
        <v>S000345Domaine Henri Delagrange Pommard 'Les Vaumuriens Haut'2020</v>
      </c>
      <c r="J344">
        <f t="shared" si="24"/>
        <v>1</v>
      </c>
    </row>
    <row r="345" spans="1:10">
      <c r="A345" t="s">
        <v>729</v>
      </c>
      <c r="B345" t="s">
        <v>730</v>
      </c>
      <c r="C345" t="s">
        <v>56</v>
      </c>
      <c r="D345" t="str">
        <f t="shared" si="22"/>
        <v>S000346Domaine Henri Delagrange Volnay Vieilles Vignes2021</v>
      </c>
      <c r="E345">
        <f t="shared" si="23"/>
        <v>1</v>
      </c>
      <c r="F345" t="s">
        <v>729</v>
      </c>
      <c r="G345" t="s">
        <v>730</v>
      </c>
      <c r="H345" t="s">
        <v>56</v>
      </c>
      <c r="I345" t="str">
        <f t="shared" si="21"/>
        <v>S000346Domaine Henri Delagrange Volnay Vieilles Vignes2021</v>
      </c>
      <c r="J345">
        <f t="shared" si="24"/>
        <v>1</v>
      </c>
    </row>
    <row r="346" spans="1:10">
      <c r="A346" t="s">
        <v>731</v>
      </c>
      <c r="B346" t="s">
        <v>732</v>
      </c>
      <c r="C346" t="s">
        <v>114</v>
      </c>
      <c r="D346" t="str">
        <f t="shared" si="22"/>
        <v>S000347Domaine Henri Magnien Gevrey-Chambertin 'Les Cazetiers' Premier Cru2014</v>
      </c>
      <c r="E346">
        <f t="shared" si="23"/>
        <v>1</v>
      </c>
      <c r="F346" t="s">
        <v>731</v>
      </c>
      <c r="G346" t="s">
        <v>732</v>
      </c>
      <c r="H346" t="s">
        <v>114</v>
      </c>
      <c r="I346" t="str">
        <f t="shared" si="21"/>
        <v>S000347Domaine Henri Magnien Gevrey-Chambertin 'Les Cazetiers' Premier Cru2014</v>
      </c>
      <c r="J346">
        <f t="shared" si="24"/>
        <v>1</v>
      </c>
    </row>
    <row r="347" spans="1:10">
      <c r="A347" t="s">
        <v>733</v>
      </c>
      <c r="B347" t="s">
        <v>734</v>
      </c>
      <c r="C347" t="s">
        <v>137</v>
      </c>
      <c r="D347" t="str">
        <f t="shared" si="22"/>
        <v>S000348Domaine Heresztyn-Mazzini Clos-Saint-Denis Grand Cru2017</v>
      </c>
      <c r="E347">
        <f t="shared" si="23"/>
        <v>1</v>
      </c>
      <c r="F347" t="s">
        <v>733</v>
      </c>
      <c r="G347" t="s">
        <v>734</v>
      </c>
      <c r="H347" t="s">
        <v>137</v>
      </c>
      <c r="I347" t="str">
        <f t="shared" si="21"/>
        <v>S000348Domaine Heresztyn-Mazzini Clos-Saint-Denis Grand Cru2017</v>
      </c>
      <c r="J347">
        <f t="shared" si="24"/>
        <v>1</v>
      </c>
    </row>
    <row r="348" spans="1:10">
      <c r="A348" t="s">
        <v>735</v>
      </c>
      <c r="B348" t="s">
        <v>734</v>
      </c>
      <c r="C348" t="s">
        <v>114</v>
      </c>
      <c r="D348" t="str">
        <f t="shared" si="22"/>
        <v>S000349Domaine Heresztyn-Mazzini Clos-Saint-Denis Grand Cru2014</v>
      </c>
      <c r="E348">
        <f t="shared" si="23"/>
        <v>1</v>
      </c>
      <c r="F348" t="s">
        <v>735</v>
      </c>
      <c r="G348" t="s">
        <v>734</v>
      </c>
      <c r="H348" t="s">
        <v>114</v>
      </c>
      <c r="I348" t="str">
        <f t="shared" si="21"/>
        <v>S000349Domaine Heresztyn-Mazzini Clos-Saint-Denis Grand Cru2014</v>
      </c>
      <c r="J348">
        <f t="shared" si="24"/>
        <v>1</v>
      </c>
    </row>
    <row r="349" spans="1:10">
      <c r="A349" t="s">
        <v>736</v>
      </c>
      <c r="B349" t="s">
        <v>737</v>
      </c>
      <c r="C349" t="s">
        <v>81</v>
      </c>
      <c r="D349" t="str">
        <f t="shared" si="22"/>
        <v>S000350Domaine Hoffmann-Jayer Bourgogne Hautes Cotes de Nuits2019</v>
      </c>
      <c r="E349">
        <f t="shared" si="23"/>
        <v>1</v>
      </c>
      <c r="F349" t="s">
        <v>736</v>
      </c>
      <c r="G349" t="s">
        <v>737</v>
      </c>
      <c r="H349" t="s">
        <v>81</v>
      </c>
      <c r="I349" t="str">
        <f t="shared" si="21"/>
        <v>S000350Domaine Hoffmann-Jayer Bourgogne Hautes Cotes de Nuits2019</v>
      </c>
      <c r="J349">
        <f t="shared" si="24"/>
        <v>1</v>
      </c>
    </row>
    <row r="350" spans="1:10">
      <c r="A350" t="s">
        <v>738</v>
      </c>
      <c r="B350" t="s">
        <v>739</v>
      </c>
      <c r="C350" t="s">
        <v>137</v>
      </c>
      <c r="D350" t="str">
        <f t="shared" si="22"/>
        <v>S000351Domaine Hubert Lignier Charmes-Chambertin Grand Cru2017</v>
      </c>
      <c r="E350">
        <f t="shared" si="23"/>
        <v>1</v>
      </c>
      <c r="F350" t="s">
        <v>738</v>
      </c>
      <c r="G350" t="s">
        <v>739</v>
      </c>
      <c r="H350" t="s">
        <v>137</v>
      </c>
      <c r="I350" t="str">
        <f t="shared" si="21"/>
        <v>S000351Domaine Hubert Lignier Charmes-Chambertin Grand Cru2017</v>
      </c>
      <c r="J350">
        <f t="shared" si="24"/>
        <v>1</v>
      </c>
    </row>
    <row r="351" spans="1:10">
      <c r="A351" t="s">
        <v>740</v>
      </c>
      <c r="B351" t="s">
        <v>741</v>
      </c>
      <c r="C351" t="s">
        <v>137</v>
      </c>
      <c r="D351" t="str">
        <f t="shared" si="22"/>
        <v>S000352Domaine Hubert Lignier Clos de la Roche Grand Cru2017</v>
      </c>
      <c r="E351">
        <f t="shared" si="23"/>
        <v>1</v>
      </c>
      <c r="F351" t="s">
        <v>740</v>
      </c>
      <c r="G351" t="s">
        <v>741</v>
      </c>
      <c r="H351" t="s">
        <v>137</v>
      </c>
      <c r="I351" t="str">
        <f t="shared" si="21"/>
        <v>S000352Domaine Hubert Lignier Clos de la Roche Grand Cru2017</v>
      </c>
      <c r="J351">
        <f t="shared" si="24"/>
        <v>1</v>
      </c>
    </row>
    <row r="352" spans="1:10">
      <c r="A352" t="s">
        <v>742</v>
      </c>
      <c r="B352" t="s">
        <v>743</v>
      </c>
      <c r="C352" t="s">
        <v>137</v>
      </c>
      <c r="D352" t="str">
        <f t="shared" si="22"/>
        <v>S000353Domaine Hubert Lignier Morey-Saint-Denis 'Les Chaffots' Premier Cru2017</v>
      </c>
      <c r="E352">
        <f t="shared" si="23"/>
        <v>1</v>
      </c>
      <c r="F352" t="s">
        <v>742</v>
      </c>
      <c r="G352" t="s">
        <v>743</v>
      </c>
      <c r="H352" t="s">
        <v>137</v>
      </c>
      <c r="I352" t="str">
        <f t="shared" si="21"/>
        <v>S000353Domaine Hubert Lignier Morey-Saint-Denis 'Les Chaffots' Premier Cru2017</v>
      </c>
      <c r="J352">
        <f t="shared" si="24"/>
        <v>1</v>
      </c>
    </row>
    <row r="353" spans="1:10">
      <c r="A353" t="s">
        <v>744</v>
      </c>
      <c r="B353" t="s">
        <v>745</v>
      </c>
      <c r="C353" t="s">
        <v>222</v>
      </c>
      <c r="D353" t="str">
        <f t="shared" si="22"/>
        <v>S000354Alain Hudelot-Noellat Bourgogne Rouge2015</v>
      </c>
      <c r="E353">
        <f t="shared" si="23"/>
        <v>1</v>
      </c>
      <c r="F353" t="s">
        <v>744</v>
      </c>
      <c r="G353" t="s">
        <v>745</v>
      </c>
      <c r="H353" t="s">
        <v>222</v>
      </c>
      <c r="I353" t="str">
        <f t="shared" si="21"/>
        <v>S000354Alain Hudelot-Noellat Bourgogne Rouge2015</v>
      </c>
      <c r="J353">
        <f t="shared" si="24"/>
        <v>1</v>
      </c>
    </row>
    <row r="354" spans="1:10">
      <c r="A354" t="s">
        <v>746</v>
      </c>
      <c r="B354" t="s">
        <v>745</v>
      </c>
      <c r="C354" t="s">
        <v>137</v>
      </c>
      <c r="D354" t="str">
        <f t="shared" si="22"/>
        <v>S000355Alain Hudelot-Noellat Bourgogne Rouge2017</v>
      </c>
      <c r="E354">
        <f t="shared" si="23"/>
        <v>1</v>
      </c>
      <c r="F354" t="s">
        <v>746</v>
      </c>
      <c r="G354" t="s">
        <v>745</v>
      </c>
      <c r="H354" t="s">
        <v>137</v>
      </c>
      <c r="I354" t="str">
        <f t="shared" si="21"/>
        <v>S000355Alain Hudelot-Noellat Bourgogne Rouge2017</v>
      </c>
      <c r="J354">
        <f t="shared" si="24"/>
        <v>1</v>
      </c>
    </row>
    <row r="355" spans="1:10">
      <c r="A355" t="s">
        <v>747</v>
      </c>
      <c r="B355" t="s">
        <v>745</v>
      </c>
      <c r="C355" t="s">
        <v>92</v>
      </c>
      <c r="D355" t="str">
        <f t="shared" si="22"/>
        <v>S000356Alain Hudelot-Noellat Bourgogne Rouge2020</v>
      </c>
      <c r="E355">
        <f t="shared" si="23"/>
        <v>1</v>
      </c>
      <c r="F355" t="s">
        <v>747</v>
      </c>
      <c r="G355" t="s">
        <v>745</v>
      </c>
      <c r="H355" t="s">
        <v>92</v>
      </c>
      <c r="I355" t="str">
        <f t="shared" si="21"/>
        <v>S000356Alain Hudelot-Noellat Bourgogne Rouge2020</v>
      </c>
      <c r="J355">
        <f t="shared" si="24"/>
        <v>1</v>
      </c>
    </row>
    <row r="356" spans="1:10">
      <c r="A356" t="s">
        <v>748</v>
      </c>
      <c r="B356" t="s">
        <v>749</v>
      </c>
      <c r="C356" t="s">
        <v>114</v>
      </c>
      <c r="D356" t="str">
        <f t="shared" si="22"/>
        <v>S000357Alain Hudelot-Noellat Clos de Vougeot Grand Cru2014</v>
      </c>
      <c r="E356">
        <f t="shared" si="23"/>
        <v>1</v>
      </c>
      <c r="F356" t="s">
        <v>748</v>
      </c>
      <c r="G356" t="s">
        <v>749</v>
      </c>
      <c r="H356" t="s">
        <v>114</v>
      </c>
      <c r="I356" t="str">
        <f t="shared" si="21"/>
        <v>S000357Alain Hudelot-Noellat Clos de Vougeot Grand Cru2014</v>
      </c>
      <c r="J356">
        <f t="shared" si="24"/>
        <v>1</v>
      </c>
    </row>
    <row r="357" spans="1:10">
      <c r="A357" t="s">
        <v>750</v>
      </c>
      <c r="B357" t="s">
        <v>749</v>
      </c>
      <c r="C357" t="s">
        <v>92</v>
      </c>
      <c r="D357" t="str">
        <f t="shared" si="22"/>
        <v>S000358Alain Hudelot-Noellat Clos de Vougeot Grand Cru2020</v>
      </c>
      <c r="E357">
        <f t="shared" si="23"/>
        <v>1</v>
      </c>
      <c r="F357" t="s">
        <v>750</v>
      </c>
      <c r="G357" t="s">
        <v>749</v>
      </c>
      <c r="H357" t="s">
        <v>92</v>
      </c>
      <c r="I357" t="str">
        <f t="shared" si="21"/>
        <v>S000358Alain Hudelot-Noellat Clos de Vougeot Grand Cru2020</v>
      </c>
      <c r="J357">
        <f t="shared" si="24"/>
        <v>1</v>
      </c>
    </row>
    <row r="358" spans="1:10">
      <c r="A358" t="s">
        <v>751</v>
      </c>
      <c r="B358" t="s">
        <v>752</v>
      </c>
      <c r="C358" t="s">
        <v>118</v>
      </c>
      <c r="D358" t="str">
        <f t="shared" si="22"/>
        <v>S000359Alain Hudelot-Noellat Nuits-Saint-Georges 'Les Murgers' Premier Cru2018</v>
      </c>
      <c r="E358">
        <f t="shared" si="23"/>
        <v>1</v>
      </c>
      <c r="F358" t="s">
        <v>751</v>
      </c>
      <c r="G358" t="s">
        <v>752</v>
      </c>
      <c r="H358" t="s">
        <v>118</v>
      </c>
      <c r="I358" t="str">
        <f t="shared" si="21"/>
        <v>S000359Alain Hudelot-Noellat Nuits-Saint-Georges 'Les Murgers' Premier Cru2018</v>
      </c>
      <c r="J358">
        <f t="shared" si="24"/>
        <v>1</v>
      </c>
    </row>
    <row r="359" spans="1:10">
      <c r="A359" t="s">
        <v>753</v>
      </c>
      <c r="B359" t="s">
        <v>752</v>
      </c>
      <c r="C359" t="s">
        <v>92</v>
      </c>
      <c r="D359" t="str">
        <f t="shared" si="22"/>
        <v>S000360Alain Hudelot-Noellat Nuits-Saint-Georges 'Les Murgers' Premier Cru2020</v>
      </c>
      <c r="E359">
        <f t="shared" si="23"/>
        <v>1</v>
      </c>
      <c r="F359" t="s">
        <v>753</v>
      </c>
      <c r="G359" t="s">
        <v>752</v>
      </c>
      <c r="H359" t="s">
        <v>92</v>
      </c>
      <c r="I359" t="str">
        <f t="shared" si="21"/>
        <v>S000360Alain Hudelot-Noellat Nuits-Saint-Georges 'Les Murgers' Premier Cru2020</v>
      </c>
      <c r="J359">
        <f t="shared" si="24"/>
        <v>1</v>
      </c>
    </row>
    <row r="360" spans="1:10">
      <c r="A360" t="s">
        <v>754</v>
      </c>
      <c r="B360" t="s">
        <v>755</v>
      </c>
      <c r="C360" t="s">
        <v>92</v>
      </c>
      <c r="D360" t="str">
        <f t="shared" si="22"/>
        <v>S000361Alain Hudelot-Noellat Vosne-Romanée2020</v>
      </c>
      <c r="E360">
        <f t="shared" si="23"/>
        <v>1</v>
      </c>
      <c r="F360" t="s">
        <v>754</v>
      </c>
      <c r="G360" t="s">
        <v>755</v>
      </c>
      <c r="H360" t="s">
        <v>92</v>
      </c>
      <c r="I360" t="str">
        <f t="shared" si="21"/>
        <v>S000361Alain Hudelot-Noellat Vosne-Romanée2020</v>
      </c>
      <c r="J360">
        <f t="shared" si="24"/>
        <v>1</v>
      </c>
    </row>
    <row r="361" spans="1:10">
      <c r="A361" t="s">
        <v>756</v>
      </c>
      <c r="B361" t="s">
        <v>757</v>
      </c>
      <c r="C361" t="s">
        <v>118</v>
      </c>
      <c r="D361" t="str">
        <f t="shared" si="22"/>
        <v>S000362Alain Hudelot-Noellat Vosne-Romanée 'Les Beaumonts' Premier Cru2018</v>
      </c>
      <c r="E361">
        <f t="shared" si="23"/>
        <v>1</v>
      </c>
      <c r="F361" t="s">
        <v>756</v>
      </c>
      <c r="G361" t="s">
        <v>757</v>
      </c>
      <c r="H361" t="s">
        <v>118</v>
      </c>
      <c r="I361" t="str">
        <f t="shared" si="21"/>
        <v>S000362Alain Hudelot-Noellat Vosne-Romanée 'Les Beaumonts' Premier Cru2018</v>
      </c>
      <c r="J361">
        <f t="shared" si="24"/>
        <v>1</v>
      </c>
    </row>
    <row r="362" spans="1:10">
      <c r="A362" t="s">
        <v>758</v>
      </c>
      <c r="B362" t="s">
        <v>757</v>
      </c>
      <c r="C362" t="s">
        <v>81</v>
      </c>
      <c r="D362" t="str">
        <f t="shared" si="22"/>
        <v>S000363Alain Hudelot-Noellat Vosne-Romanée 'Les Beaumonts' Premier Cru2019</v>
      </c>
      <c r="E362">
        <f t="shared" si="23"/>
        <v>1</v>
      </c>
      <c r="F362" t="s">
        <v>758</v>
      </c>
      <c r="G362" t="s">
        <v>757</v>
      </c>
      <c r="H362" t="s">
        <v>81</v>
      </c>
      <c r="I362" t="str">
        <f t="shared" si="21"/>
        <v>S000363Alain Hudelot-Noellat Vosne-Romanée 'Les Beaumonts' Premier Cru2019</v>
      </c>
      <c r="J362">
        <f t="shared" si="24"/>
        <v>1</v>
      </c>
    </row>
    <row r="363" spans="1:10">
      <c r="A363" t="s">
        <v>759</v>
      </c>
      <c r="B363" t="s">
        <v>760</v>
      </c>
      <c r="C363" t="s">
        <v>239</v>
      </c>
      <c r="D363" t="str">
        <f t="shared" si="22"/>
        <v>S000364Iberica Bruno Prats AlfYnal Monastrell2011</v>
      </c>
      <c r="E363">
        <f t="shared" si="23"/>
        <v>1</v>
      </c>
      <c r="F363" t="s">
        <v>759</v>
      </c>
      <c r="G363" t="s">
        <v>760</v>
      </c>
      <c r="H363" t="s">
        <v>239</v>
      </c>
      <c r="I363" t="str">
        <f t="shared" si="21"/>
        <v>S000364Iberica Bruno Prats AlfYnal Monastrell2011</v>
      </c>
      <c r="J363">
        <f t="shared" si="24"/>
        <v>1</v>
      </c>
    </row>
    <row r="364" spans="1:10">
      <c r="A364" t="s">
        <v>761</v>
      </c>
      <c r="B364" t="s">
        <v>762</v>
      </c>
      <c r="C364" t="s">
        <v>222</v>
      </c>
      <c r="D364" t="str">
        <f t="shared" si="22"/>
        <v>S000365Domaine Jacques Prieur Beaune 'Greves'2015</v>
      </c>
      <c r="E364">
        <f t="shared" si="23"/>
        <v>1</v>
      </c>
      <c r="F364" t="s">
        <v>761</v>
      </c>
      <c r="G364" t="s">
        <v>762</v>
      </c>
      <c r="H364" t="s">
        <v>222</v>
      </c>
      <c r="I364" t="str">
        <f t="shared" si="21"/>
        <v>S000365Domaine Jacques Prieur Beaune 'Greves'2015</v>
      </c>
      <c r="J364">
        <f t="shared" si="24"/>
        <v>1</v>
      </c>
    </row>
    <row r="365" spans="1:10">
      <c r="A365" t="s">
        <v>763</v>
      </c>
      <c r="B365" t="s">
        <v>764</v>
      </c>
      <c r="C365" t="s">
        <v>222</v>
      </c>
      <c r="D365" t="str">
        <f t="shared" si="22"/>
        <v>S000366Domaine Jacques Prieur Clos de Vougeot Grand Cru2015</v>
      </c>
      <c r="E365">
        <f t="shared" si="23"/>
        <v>1</v>
      </c>
      <c r="F365" t="s">
        <v>763</v>
      </c>
      <c r="G365" t="s">
        <v>764</v>
      </c>
      <c r="H365" t="s">
        <v>222</v>
      </c>
      <c r="I365" t="str">
        <f t="shared" si="21"/>
        <v>S000366Domaine Jacques Prieur Clos de Vougeot Grand Cru2015</v>
      </c>
      <c r="J365">
        <f t="shared" si="24"/>
        <v>1</v>
      </c>
    </row>
    <row r="366" spans="1:10">
      <c r="A366" t="s">
        <v>765</v>
      </c>
      <c r="B366" t="s">
        <v>766</v>
      </c>
      <c r="C366" t="s">
        <v>239</v>
      </c>
      <c r="D366" t="str">
        <f t="shared" si="22"/>
        <v>S000367Domaine Jacques Prieur Montrachet Grand Cru2011</v>
      </c>
      <c r="E366">
        <f t="shared" si="23"/>
        <v>1</v>
      </c>
      <c r="F366" t="s">
        <v>765</v>
      </c>
      <c r="G366" t="s">
        <v>766</v>
      </c>
      <c r="H366" t="s">
        <v>239</v>
      </c>
      <c r="I366" t="str">
        <f t="shared" si="21"/>
        <v>S000367Domaine Jacques Prieur Montrachet Grand Cru2011</v>
      </c>
      <c r="J366">
        <f t="shared" si="24"/>
        <v>1</v>
      </c>
    </row>
    <row r="367" spans="1:10">
      <c r="A367" t="s">
        <v>767</v>
      </c>
      <c r="B367" t="s">
        <v>768</v>
      </c>
      <c r="C367" t="s">
        <v>172</v>
      </c>
      <c r="D367" t="str">
        <f t="shared" si="22"/>
        <v>S000368Domaine Jacques Prieur Musigny Grand Cru2012</v>
      </c>
      <c r="E367">
        <f t="shared" si="23"/>
        <v>1</v>
      </c>
      <c r="F367" t="s">
        <v>767</v>
      </c>
      <c r="G367" t="s">
        <v>768</v>
      </c>
      <c r="H367" t="s">
        <v>172</v>
      </c>
      <c r="I367" t="str">
        <f t="shared" si="21"/>
        <v>S000368Domaine Jacques Prieur Musigny Grand Cru2012</v>
      </c>
      <c r="J367">
        <f t="shared" si="24"/>
        <v>1</v>
      </c>
    </row>
    <row r="368" spans="1:10">
      <c r="A368" t="s">
        <v>769</v>
      </c>
      <c r="B368" t="s">
        <v>770</v>
      </c>
      <c r="C368" t="s">
        <v>144</v>
      </c>
      <c r="D368" t="str">
        <f t="shared" si="22"/>
        <v>S000369Jacques Selosse 'Initial' Blanc de Blancs Grand Cru BrutNV</v>
      </c>
      <c r="E368">
        <f t="shared" si="23"/>
        <v>1</v>
      </c>
      <c r="F368" t="s">
        <v>769</v>
      </c>
      <c r="G368" t="s">
        <v>770</v>
      </c>
      <c r="H368" t="s">
        <v>144</v>
      </c>
      <c r="I368" t="str">
        <f t="shared" si="21"/>
        <v>S000369Jacques Selosse 'Initial' Blanc de Blancs Grand Cru BrutNV</v>
      </c>
      <c r="J368">
        <f t="shared" si="24"/>
        <v>1</v>
      </c>
    </row>
    <row r="369" spans="1:10">
      <c r="A369" t="s">
        <v>771</v>
      </c>
      <c r="B369" t="s">
        <v>772</v>
      </c>
      <c r="C369" t="s">
        <v>144</v>
      </c>
      <c r="D369" t="str">
        <f t="shared" si="22"/>
        <v>S000370Jacques Selosse 'Substance' Blanc de Blancs Grand Cru BrutNV</v>
      </c>
      <c r="E369">
        <f t="shared" si="23"/>
        <v>1</v>
      </c>
      <c r="F369" t="s">
        <v>771</v>
      </c>
      <c r="G369" t="s">
        <v>772</v>
      </c>
      <c r="H369" t="s">
        <v>144</v>
      </c>
      <c r="I369" t="str">
        <f t="shared" si="21"/>
        <v>S000370Jacques Selosse 'Substance' Blanc de Blancs Grand Cru BrutNV</v>
      </c>
      <c r="J369">
        <f t="shared" si="24"/>
        <v>1</v>
      </c>
    </row>
    <row r="370" spans="1:10">
      <c r="A370" t="s">
        <v>773</v>
      </c>
      <c r="B370" t="s">
        <v>774</v>
      </c>
      <c r="C370" t="s">
        <v>129</v>
      </c>
      <c r="D370" t="str">
        <f t="shared" si="22"/>
        <v>S000371Domaine Jamet Syrah2016</v>
      </c>
      <c r="E370">
        <f t="shared" si="23"/>
        <v>1</v>
      </c>
      <c r="F370" t="s">
        <v>773</v>
      </c>
      <c r="G370" t="s">
        <v>774</v>
      </c>
      <c r="H370" t="s">
        <v>129</v>
      </c>
      <c r="I370" t="str">
        <f t="shared" si="21"/>
        <v>S000371Domaine Jamet Syrah2016</v>
      </c>
      <c r="J370">
        <f t="shared" si="24"/>
        <v>1</v>
      </c>
    </row>
    <row r="371" spans="1:10">
      <c r="A371" t="s">
        <v>775</v>
      </c>
      <c r="B371" t="s">
        <v>776</v>
      </c>
      <c r="C371" t="s">
        <v>425</v>
      </c>
      <c r="D371" t="str">
        <f t="shared" si="22"/>
        <v>S000372Domaine Jean Chauvenet Nuits-Saint-Georges 'Les Damodes' Premier Cru2002</v>
      </c>
      <c r="E371">
        <f t="shared" si="23"/>
        <v>1</v>
      </c>
      <c r="F371" t="s">
        <v>775</v>
      </c>
      <c r="G371" t="s">
        <v>776</v>
      </c>
      <c r="H371" t="s">
        <v>425</v>
      </c>
      <c r="I371" t="str">
        <f t="shared" si="21"/>
        <v>S000372Domaine Jean Chauvenet Nuits-Saint-Georges 'Les Damodes' Premier Cru2002</v>
      </c>
      <c r="J371">
        <f t="shared" si="24"/>
        <v>1</v>
      </c>
    </row>
    <row r="372" spans="1:10">
      <c r="A372" t="s">
        <v>777</v>
      </c>
      <c r="B372" t="s">
        <v>778</v>
      </c>
      <c r="C372" t="s">
        <v>137</v>
      </c>
      <c r="D372" t="str">
        <f t="shared" si="22"/>
        <v>S000373Domaine Jean Chauvenet Nuits-Saint-Georges 'Rue de Chaux' Premier Cru2017</v>
      </c>
      <c r="E372">
        <f t="shared" si="23"/>
        <v>1</v>
      </c>
      <c r="F372" t="s">
        <v>777</v>
      </c>
      <c r="G372" t="s">
        <v>778</v>
      </c>
      <c r="H372" t="s">
        <v>137</v>
      </c>
      <c r="I372" t="str">
        <f t="shared" si="21"/>
        <v>S000373Domaine Jean Chauvenet Nuits-Saint-Georges 'Rue de Chaux' Premier Cru2017</v>
      </c>
      <c r="J372">
        <f t="shared" si="24"/>
        <v>1</v>
      </c>
    </row>
    <row r="373" spans="1:10">
      <c r="A373" t="s">
        <v>779</v>
      </c>
      <c r="B373" t="s">
        <v>780</v>
      </c>
      <c r="C373" t="s">
        <v>713</v>
      </c>
      <c r="D373" t="str">
        <f t="shared" si="22"/>
        <v>S000374Domaine Jean Grivot Vosne-Romanée 'Aux Reignots' Premier Cru2000</v>
      </c>
      <c r="E373">
        <f t="shared" si="23"/>
        <v>1</v>
      </c>
      <c r="F373" t="s">
        <v>779</v>
      </c>
      <c r="G373" t="s">
        <v>780</v>
      </c>
      <c r="H373" t="s">
        <v>713</v>
      </c>
      <c r="I373" t="str">
        <f t="shared" si="21"/>
        <v>S000374Domaine Jean Grivot Vosne-Romanée 'Aux Reignots' Premier Cru2000</v>
      </c>
      <c r="J373">
        <f t="shared" si="24"/>
        <v>1</v>
      </c>
    </row>
    <row r="374" spans="1:10">
      <c r="A374" t="s">
        <v>781</v>
      </c>
      <c r="B374" t="s">
        <v>780</v>
      </c>
      <c r="C374" t="s">
        <v>133</v>
      </c>
      <c r="D374" t="str">
        <f t="shared" si="22"/>
        <v>S000375Domaine Jean Grivot Vosne-Romanée 'Aux Reignots' Premier Cru2007</v>
      </c>
      <c r="E374">
        <f t="shared" si="23"/>
        <v>1</v>
      </c>
      <c r="F374" t="s">
        <v>781</v>
      </c>
      <c r="G374" t="s">
        <v>780</v>
      </c>
      <c r="H374" t="s">
        <v>133</v>
      </c>
      <c r="I374" t="str">
        <f t="shared" si="21"/>
        <v>S000375Domaine Jean Grivot Vosne-Romanée 'Aux Reignots' Premier Cru2007</v>
      </c>
      <c r="J374">
        <f t="shared" si="24"/>
        <v>1</v>
      </c>
    </row>
    <row r="375" spans="1:10">
      <c r="A375" t="s">
        <v>782</v>
      </c>
      <c r="B375" t="s">
        <v>780</v>
      </c>
      <c r="C375" t="s">
        <v>127</v>
      </c>
      <c r="D375" t="str">
        <f t="shared" si="22"/>
        <v>S000376Domaine Jean Grivot Vosne-Romanée 'Aux Reignots' Premier Cru2009</v>
      </c>
      <c r="E375">
        <f t="shared" si="23"/>
        <v>1</v>
      </c>
      <c r="F375" t="s">
        <v>782</v>
      </c>
      <c r="G375" t="s">
        <v>780</v>
      </c>
      <c r="H375" t="s">
        <v>127</v>
      </c>
      <c r="I375" t="str">
        <f t="shared" si="21"/>
        <v>S000376Domaine Jean Grivot Vosne-Romanée 'Aux Reignots' Premier Cru2009</v>
      </c>
      <c r="J375">
        <f t="shared" si="24"/>
        <v>1</v>
      </c>
    </row>
    <row r="376" spans="1:10">
      <c r="A376" t="s">
        <v>783</v>
      </c>
      <c r="B376" t="s">
        <v>780</v>
      </c>
      <c r="C376" t="s">
        <v>139</v>
      </c>
      <c r="D376" t="str">
        <f t="shared" si="22"/>
        <v>S000377Domaine Jean Grivot Vosne-Romanée 'Aux Reignots' Premier Cru2010</v>
      </c>
      <c r="E376">
        <f t="shared" si="23"/>
        <v>1</v>
      </c>
      <c r="F376" t="s">
        <v>783</v>
      </c>
      <c r="G376" t="s">
        <v>780</v>
      </c>
      <c r="H376" t="s">
        <v>139</v>
      </c>
      <c r="I376" t="str">
        <f t="shared" si="21"/>
        <v>S000377Domaine Jean Grivot Vosne-Romanée 'Aux Reignots' Premier Cru2010</v>
      </c>
      <c r="J376">
        <f t="shared" si="24"/>
        <v>1</v>
      </c>
    </row>
    <row r="377" spans="1:10">
      <c r="A377" t="s">
        <v>784</v>
      </c>
      <c r="B377" t="s">
        <v>785</v>
      </c>
      <c r="C377" t="s">
        <v>121</v>
      </c>
      <c r="D377" t="str">
        <f t="shared" si="22"/>
        <v>S000378Domaine Jean Grivot Vosne-Romanée 'Les Suchots' Premier Cru2001</v>
      </c>
      <c r="E377">
        <f t="shared" si="23"/>
        <v>1</v>
      </c>
      <c r="F377" t="s">
        <v>784</v>
      </c>
      <c r="G377" t="s">
        <v>785</v>
      </c>
      <c r="H377" t="s">
        <v>121</v>
      </c>
      <c r="I377" t="str">
        <f t="shared" si="21"/>
        <v>S000378Domaine Jean Grivot Vosne-Romanée 'Les Suchots' Premier Cru2001</v>
      </c>
      <c r="J377">
        <f t="shared" si="24"/>
        <v>1</v>
      </c>
    </row>
    <row r="378" spans="1:10">
      <c r="A378" t="s">
        <v>786</v>
      </c>
      <c r="B378" t="s">
        <v>787</v>
      </c>
      <c r="C378" t="s">
        <v>56</v>
      </c>
      <c r="D378" t="str">
        <f t="shared" si="22"/>
        <v>S000379Domaine Jean-Jacques Confuron 'Cuvée Jeunesse'2021</v>
      </c>
      <c r="E378">
        <f t="shared" si="23"/>
        <v>1</v>
      </c>
      <c r="F378" t="s">
        <v>786</v>
      </c>
      <c r="G378" t="s">
        <v>787</v>
      </c>
      <c r="H378" t="s">
        <v>56</v>
      </c>
      <c r="I378" t="str">
        <f t="shared" si="21"/>
        <v>S000379Domaine Jean-Jacques Confuron 'Cuvée Jeunesse'2021</v>
      </c>
      <c r="J378">
        <f t="shared" si="24"/>
        <v>1</v>
      </c>
    </row>
    <row r="379" spans="1:10">
      <c r="A379" t="s">
        <v>788</v>
      </c>
      <c r="B379" t="s">
        <v>789</v>
      </c>
      <c r="C379" t="s">
        <v>56</v>
      </c>
      <c r="D379" t="str">
        <f t="shared" si="22"/>
        <v>S000380Domaine Jean-Jacques Confuron Nuits-Saint-Georges 'Aux Boudots' Premier Cru2021</v>
      </c>
      <c r="E379">
        <f t="shared" si="23"/>
        <v>1</v>
      </c>
      <c r="F379" t="s">
        <v>788</v>
      </c>
      <c r="G379" t="s">
        <v>789</v>
      </c>
      <c r="H379" t="s">
        <v>56</v>
      </c>
      <c r="I379" t="str">
        <f t="shared" si="21"/>
        <v>S000380Domaine Jean-Jacques Confuron Nuits-Saint-Georges 'Aux Boudots' Premier Cru2021</v>
      </c>
      <c r="J379">
        <f t="shared" si="24"/>
        <v>1</v>
      </c>
    </row>
    <row r="380" spans="1:10">
      <c r="A380" t="s">
        <v>790</v>
      </c>
      <c r="B380" t="s">
        <v>791</v>
      </c>
      <c r="C380" t="s">
        <v>56</v>
      </c>
      <c r="D380" t="str">
        <f t="shared" si="22"/>
        <v>S000381Domaine Jean-Jacques Confuron Nuits-Saint-Georges 'Les Fleurieres'2021</v>
      </c>
      <c r="E380">
        <f t="shared" si="23"/>
        <v>1</v>
      </c>
      <c r="F380" t="s">
        <v>790</v>
      </c>
      <c r="G380" t="s">
        <v>791</v>
      </c>
      <c r="H380" t="s">
        <v>56</v>
      </c>
      <c r="I380" t="str">
        <f t="shared" si="21"/>
        <v>S000381Domaine Jean-Jacques Confuron Nuits-Saint-Georges 'Les Fleurieres'2021</v>
      </c>
      <c r="J380">
        <f t="shared" si="24"/>
        <v>1</v>
      </c>
    </row>
    <row r="381" spans="1:10">
      <c r="A381" t="s">
        <v>792</v>
      </c>
      <c r="B381" t="s">
        <v>793</v>
      </c>
      <c r="C381" t="s">
        <v>92</v>
      </c>
      <c r="D381" t="str">
        <f t="shared" si="22"/>
        <v>S000382Domaine Jean Tardy et Fils Nuits-Saint-Georges 'Aux Bas de Combe' Vieilles Vignes2020</v>
      </c>
      <c r="E381">
        <f t="shared" si="23"/>
        <v>1</v>
      </c>
      <c r="F381" t="s">
        <v>792</v>
      </c>
      <c r="G381" t="s">
        <v>793</v>
      </c>
      <c r="H381" t="s">
        <v>92</v>
      </c>
      <c r="I381" t="str">
        <f t="shared" si="21"/>
        <v>S000382Domaine Jean Tardy et Fils Nuits-Saint-Georges 'Aux Bas de Combe' Vieilles Vignes2020</v>
      </c>
      <c r="J381">
        <f t="shared" si="24"/>
        <v>1</v>
      </c>
    </row>
    <row r="382" spans="1:10">
      <c r="A382" t="s">
        <v>794</v>
      </c>
      <c r="B382" t="s">
        <v>795</v>
      </c>
      <c r="C382" t="s">
        <v>137</v>
      </c>
      <c r="D382" t="str">
        <f t="shared" si="22"/>
        <v>S000383Domaine Jean Tardy et Fils Vosne-Romanée 'Vigneux'2017</v>
      </c>
      <c r="E382">
        <f t="shared" si="23"/>
        <v>1</v>
      </c>
      <c r="F382" t="s">
        <v>794</v>
      </c>
      <c r="G382" t="s">
        <v>795</v>
      </c>
      <c r="H382" t="s">
        <v>137</v>
      </c>
      <c r="I382" t="str">
        <f t="shared" si="21"/>
        <v>S000383Domaine Jean Tardy et Fils Vosne-Romanée 'Vigneux'2017</v>
      </c>
      <c r="J382">
        <f t="shared" si="24"/>
        <v>1</v>
      </c>
    </row>
    <row r="383" spans="1:10">
      <c r="A383" t="s">
        <v>796</v>
      </c>
      <c r="B383" t="s">
        <v>797</v>
      </c>
      <c r="C383" t="s">
        <v>222</v>
      </c>
      <c r="D383" t="str">
        <f t="shared" si="22"/>
        <v>S000384Domaine Jerome Castagnier Chambolle-Musigny 'Les Amoureuses' Premier Cru2015</v>
      </c>
      <c r="E383">
        <f t="shared" si="23"/>
        <v>1</v>
      </c>
      <c r="F383" t="s">
        <v>796</v>
      </c>
      <c r="G383" t="s">
        <v>797</v>
      </c>
      <c r="H383" t="s">
        <v>222</v>
      </c>
      <c r="I383" t="str">
        <f t="shared" si="21"/>
        <v>S000384Domaine Jerome Castagnier Chambolle-Musigny 'Les Amoureuses' Premier Cru2015</v>
      </c>
      <c r="J383">
        <f t="shared" si="24"/>
        <v>1</v>
      </c>
    </row>
    <row r="384" spans="1:10">
      <c r="A384" t="s">
        <v>798</v>
      </c>
      <c r="B384" t="s">
        <v>799</v>
      </c>
      <c r="C384" t="s">
        <v>137</v>
      </c>
      <c r="D384" t="str">
        <f t="shared" si="22"/>
        <v>S000385Domaine Jacques-Frederic Mugnier Chambolle-Musigny2017</v>
      </c>
      <c r="E384">
        <f t="shared" si="23"/>
        <v>1</v>
      </c>
      <c r="F384" t="s">
        <v>798</v>
      </c>
      <c r="G384" t="s">
        <v>799</v>
      </c>
      <c r="H384" t="s">
        <v>137</v>
      </c>
      <c r="I384" t="str">
        <f t="shared" si="21"/>
        <v>S000385Domaine Jacques-Frederic Mugnier Chambolle-Musigny2017</v>
      </c>
      <c r="J384">
        <f t="shared" si="24"/>
        <v>1</v>
      </c>
    </row>
    <row r="385" spans="1:10">
      <c r="A385" t="s">
        <v>800</v>
      </c>
      <c r="B385" t="s">
        <v>801</v>
      </c>
      <c r="C385" t="s">
        <v>114</v>
      </c>
      <c r="D385" t="str">
        <f t="shared" si="22"/>
        <v>S000386Domaine Jacques-Frédéric Mugnier Nuits-Saint-Georges 'Clos de la Maréchale' Premier Cru2014</v>
      </c>
      <c r="E385">
        <f t="shared" si="23"/>
        <v>1</v>
      </c>
      <c r="F385" t="s">
        <v>800</v>
      </c>
      <c r="G385" t="s">
        <v>801</v>
      </c>
      <c r="H385" t="s">
        <v>114</v>
      </c>
      <c r="I385" t="str">
        <f t="shared" ref="I385:I448" si="25">F385&amp;G385&amp;H385</f>
        <v>S000386Domaine Jacques-Frédéric Mugnier Nuits-Saint-Georges 'Clos de la Maréchale' Premier Cru2014</v>
      </c>
      <c r="J385">
        <f t="shared" si="24"/>
        <v>1</v>
      </c>
    </row>
    <row r="386" spans="1:10">
      <c r="A386" t="s">
        <v>802</v>
      </c>
      <c r="B386" t="s">
        <v>801</v>
      </c>
      <c r="C386" t="s">
        <v>92</v>
      </c>
      <c r="D386" t="str">
        <f t="shared" si="22"/>
        <v>S000387Domaine Jacques-Frédéric Mugnier Nuits-Saint-Georges 'Clos de la Maréchale' Premier Cru2020</v>
      </c>
      <c r="E386">
        <f t="shared" si="23"/>
        <v>1</v>
      </c>
      <c r="F386" t="s">
        <v>802</v>
      </c>
      <c r="G386" t="s">
        <v>801</v>
      </c>
      <c r="H386" t="s">
        <v>92</v>
      </c>
      <c r="I386" t="str">
        <f t="shared" si="25"/>
        <v>S000387Domaine Jacques-Frédéric Mugnier Nuits-Saint-Georges 'Clos de la Maréchale' Premier Cru2020</v>
      </c>
      <c r="J386">
        <f t="shared" si="24"/>
        <v>1</v>
      </c>
    </row>
    <row r="387" spans="1:10">
      <c r="A387" t="s">
        <v>803</v>
      </c>
      <c r="B387" t="s">
        <v>801</v>
      </c>
      <c r="C387" t="s">
        <v>137</v>
      </c>
      <c r="D387" t="str">
        <f t="shared" ref="D387:D450" si="26">A387&amp;B387&amp;C387</f>
        <v>S000388Domaine Jacques-Frédéric Mugnier Nuits-Saint-Georges 'Clos de la Maréchale' Premier Cru2017</v>
      </c>
      <c r="E387">
        <f t="shared" ref="E387:E450" si="27">IF(A387=F387,1,0)</f>
        <v>1</v>
      </c>
      <c r="F387" t="s">
        <v>803</v>
      </c>
      <c r="G387" t="s">
        <v>801</v>
      </c>
      <c r="H387" t="s">
        <v>137</v>
      </c>
      <c r="I387" t="str">
        <f t="shared" si="25"/>
        <v>S000388Domaine Jacques-Frédéric Mugnier Nuits-Saint-Georges 'Clos de la Maréchale' Premier Cru2017</v>
      </c>
      <c r="J387">
        <f t="shared" ref="J387:J450" si="28">IF(D387=I387,1,0)</f>
        <v>1</v>
      </c>
    </row>
    <row r="388" spans="1:10">
      <c r="A388" t="s">
        <v>804</v>
      </c>
      <c r="B388" t="s">
        <v>805</v>
      </c>
      <c r="C388" t="s">
        <v>127</v>
      </c>
      <c r="D388" t="str">
        <f t="shared" si="26"/>
        <v>S000389Domaine Jean-Jacques Confuron Clos de Vougeot Grand Cru2009</v>
      </c>
      <c r="E388">
        <f t="shared" si="27"/>
        <v>1</v>
      </c>
      <c r="F388" t="s">
        <v>804</v>
      </c>
      <c r="G388" t="s">
        <v>805</v>
      </c>
      <c r="H388" t="s">
        <v>127</v>
      </c>
      <c r="I388" t="str">
        <f t="shared" si="25"/>
        <v>S000389Domaine Jean-Jacques Confuron Clos de Vougeot Grand Cru2009</v>
      </c>
      <c r="J388">
        <f t="shared" si="28"/>
        <v>1</v>
      </c>
    </row>
    <row r="389" spans="1:10">
      <c r="A389" t="s">
        <v>806</v>
      </c>
      <c r="B389" t="s">
        <v>807</v>
      </c>
      <c r="C389" t="s">
        <v>125</v>
      </c>
      <c r="D389" t="str">
        <f t="shared" si="26"/>
        <v>S000390Joh. Jos. Prum 'Wehlener Sonnenuhr' Riesling Auslese2008</v>
      </c>
      <c r="E389">
        <f t="shared" si="27"/>
        <v>1</v>
      </c>
      <c r="F389" t="s">
        <v>806</v>
      </c>
      <c r="G389" t="s">
        <v>807</v>
      </c>
      <c r="H389" t="s">
        <v>125</v>
      </c>
      <c r="I389" t="str">
        <f t="shared" si="25"/>
        <v>S000390Joh. Jos. Prum 'Wehlener Sonnenuhr' Riesling Auslese2008</v>
      </c>
      <c r="J389">
        <f t="shared" si="28"/>
        <v>1</v>
      </c>
    </row>
    <row r="390" spans="1:10">
      <c r="A390" t="s">
        <v>811</v>
      </c>
      <c r="B390" t="s">
        <v>812</v>
      </c>
      <c r="C390" t="s">
        <v>127</v>
      </c>
      <c r="D390" t="str">
        <f t="shared" si="26"/>
        <v>S000391Joseph Drouhin Chambertin Clos-de-Beze Grand Cru2009</v>
      </c>
      <c r="E390">
        <f t="shared" si="27"/>
        <v>1</v>
      </c>
      <c r="F390" t="s">
        <v>811</v>
      </c>
      <c r="G390" t="s">
        <v>812</v>
      </c>
      <c r="H390" t="s">
        <v>127</v>
      </c>
      <c r="I390" t="str">
        <f t="shared" si="25"/>
        <v>S000391Joseph Drouhin Chambertin Clos-de-Beze Grand Cru2009</v>
      </c>
      <c r="J390">
        <f t="shared" si="28"/>
        <v>1</v>
      </c>
    </row>
    <row r="391" spans="1:10">
      <c r="A391" t="s">
        <v>813</v>
      </c>
      <c r="B391" t="s">
        <v>814</v>
      </c>
      <c r="C391" t="s">
        <v>127</v>
      </c>
      <c r="D391" t="str">
        <f t="shared" si="26"/>
        <v>S000392Joseph Drouhin Clos-de-Vougeot Grand Cru2009</v>
      </c>
      <c r="E391">
        <f t="shared" si="27"/>
        <v>1</v>
      </c>
      <c r="F391" t="s">
        <v>813</v>
      </c>
      <c r="G391" t="s">
        <v>814</v>
      </c>
      <c r="H391" t="s">
        <v>127</v>
      </c>
      <c r="I391" t="str">
        <f t="shared" si="25"/>
        <v>S000392Joseph Drouhin Clos-de-Vougeot Grand Cru2009</v>
      </c>
      <c r="J391">
        <f t="shared" si="28"/>
        <v>1</v>
      </c>
    </row>
    <row r="392" spans="1:10">
      <c r="A392" t="s">
        <v>815</v>
      </c>
      <c r="B392" t="s">
        <v>816</v>
      </c>
      <c r="C392" t="s">
        <v>137</v>
      </c>
      <c r="D392" t="str">
        <f t="shared" si="26"/>
        <v>S000393Joseph Drouhin Griottes-Chambertin Grand Cru2017</v>
      </c>
      <c r="E392">
        <f t="shared" si="27"/>
        <v>1</v>
      </c>
      <c r="F392" t="s">
        <v>815</v>
      </c>
      <c r="G392" t="s">
        <v>816</v>
      </c>
      <c r="H392" t="s">
        <v>137</v>
      </c>
      <c r="I392" t="str">
        <f t="shared" si="25"/>
        <v>S000393Joseph Drouhin Griottes-Chambertin Grand Cru2017</v>
      </c>
      <c r="J392">
        <f t="shared" si="28"/>
        <v>1</v>
      </c>
    </row>
    <row r="393" spans="1:10">
      <c r="A393" t="s">
        <v>817</v>
      </c>
      <c r="B393" t="s">
        <v>818</v>
      </c>
      <c r="C393" t="s">
        <v>92</v>
      </c>
      <c r="D393" t="str">
        <f t="shared" si="26"/>
        <v>S000394Domaine Joseph &amp; Philippe Roty Gevrey-Chambertin2020</v>
      </c>
      <c r="E393">
        <f t="shared" si="27"/>
        <v>1</v>
      </c>
      <c r="F393" t="s">
        <v>817</v>
      </c>
      <c r="G393" t="s">
        <v>818</v>
      </c>
      <c r="H393" t="s">
        <v>92</v>
      </c>
      <c r="I393" t="str">
        <f t="shared" si="25"/>
        <v>S000394Domaine Joseph &amp; Philippe Roty Gevrey-Chambertin2020</v>
      </c>
      <c r="J393">
        <f t="shared" si="28"/>
        <v>1</v>
      </c>
    </row>
    <row r="394" spans="1:10">
      <c r="A394" t="s">
        <v>819</v>
      </c>
      <c r="B394" t="s">
        <v>820</v>
      </c>
      <c r="C394" t="s">
        <v>139</v>
      </c>
      <c r="D394" t="str">
        <f t="shared" si="26"/>
        <v>S000395Domaine Joseph &amp; Philippe Roty Gevrey-Chambertin 'Les Fontenys' Premier Cru2010</v>
      </c>
      <c r="E394">
        <f t="shared" si="27"/>
        <v>1</v>
      </c>
      <c r="F394" t="s">
        <v>819</v>
      </c>
      <c r="G394" t="s">
        <v>820</v>
      </c>
      <c r="H394" t="s">
        <v>139</v>
      </c>
      <c r="I394" t="str">
        <f t="shared" si="25"/>
        <v>S000395Domaine Joseph &amp; Philippe Roty Gevrey-Chambertin 'Les Fontenys' Premier Cru2010</v>
      </c>
      <c r="J394">
        <f t="shared" si="28"/>
        <v>1</v>
      </c>
    </row>
    <row r="395" spans="1:10">
      <c r="A395" t="s">
        <v>821</v>
      </c>
      <c r="B395" t="s">
        <v>822</v>
      </c>
      <c r="C395" t="s">
        <v>137</v>
      </c>
      <c r="D395" t="str">
        <f t="shared" si="26"/>
        <v>S000396Domaine Jules Desjourneys Pouilly-Fuisse 'Vignes de la Cote'2017</v>
      </c>
      <c r="E395">
        <f t="shared" si="27"/>
        <v>1</v>
      </c>
      <c r="F395" t="s">
        <v>821</v>
      </c>
      <c r="G395" t="s">
        <v>822</v>
      </c>
      <c r="H395" t="s">
        <v>137</v>
      </c>
      <c r="I395" t="str">
        <f t="shared" si="25"/>
        <v>S000396Domaine Jules Desjourneys Pouilly-Fuisse 'Vignes de la Cote'2017</v>
      </c>
      <c r="J395">
        <f t="shared" si="28"/>
        <v>1</v>
      </c>
    </row>
    <row r="396" spans="1:10">
      <c r="A396" t="s">
        <v>823</v>
      </c>
      <c r="B396" t="s">
        <v>824</v>
      </c>
      <c r="C396" t="s">
        <v>222</v>
      </c>
      <c r="D396" t="str">
        <f t="shared" si="26"/>
        <v>S000397Domaine Jules Desjourneys Pouilly-Vinzelles 'Les Longeays'2015</v>
      </c>
      <c r="E396">
        <f t="shared" si="27"/>
        <v>1</v>
      </c>
      <c r="F396" t="s">
        <v>823</v>
      </c>
      <c r="G396" t="s">
        <v>824</v>
      </c>
      <c r="H396" t="s">
        <v>222</v>
      </c>
      <c r="I396" t="str">
        <f t="shared" si="25"/>
        <v>S000397Domaine Jules Desjourneys Pouilly-Vinzelles 'Les Longeays'2015</v>
      </c>
      <c r="J396">
        <f t="shared" si="28"/>
        <v>1</v>
      </c>
    </row>
    <row r="397" spans="1:10">
      <c r="A397" t="s">
        <v>825</v>
      </c>
      <c r="B397" t="s">
        <v>826</v>
      </c>
      <c r="C397" t="s">
        <v>81</v>
      </c>
      <c r="D397" t="str">
        <f t="shared" si="26"/>
        <v>S000398Chateau Kirwan Margaux Troisième Grand Cru Classé2019</v>
      </c>
      <c r="E397">
        <f t="shared" si="27"/>
        <v>1</v>
      </c>
      <c r="F397" t="s">
        <v>825</v>
      </c>
      <c r="G397" t="s">
        <v>826</v>
      </c>
      <c r="H397" t="s">
        <v>81</v>
      </c>
      <c r="I397" t="str">
        <f t="shared" si="25"/>
        <v>S000398Chateau Kirwan Margaux Troisième Grand Cru Classé2019</v>
      </c>
      <c r="J397">
        <f t="shared" si="28"/>
        <v>1</v>
      </c>
    </row>
    <row r="398" spans="1:10">
      <c r="A398" t="s">
        <v>827</v>
      </c>
      <c r="B398" t="s">
        <v>828</v>
      </c>
      <c r="C398" t="s">
        <v>144</v>
      </c>
      <c r="D398" t="str">
        <f t="shared" si="26"/>
        <v>S000399Krug Grande Cuvée BrutNV</v>
      </c>
      <c r="E398">
        <f t="shared" si="27"/>
        <v>1</v>
      </c>
      <c r="F398" t="s">
        <v>827</v>
      </c>
      <c r="G398" t="s">
        <v>828</v>
      </c>
      <c r="H398" t="s">
        <v>144</v>
      </c>
      <c r="I398" t="str">
        <f t="shared" si="25"/>
        <v>S000399Krug Grande Cuvée BrutNV</v>
      </c>
      <c r="J398">
        <f t="shared" si="28"/>
        <v>1</v>
      </c>
    </row>
    <row r="399" spans="1:10">
      <c r="A399" t="s">
        <v>829</v>
      </c>
      <c r="B399" t="s">
        <v>830</v>
      </c>
      <c r="C399" t="s">
        <v>81</v>
      </c>
      <c r="D399" t="str">
        <f t="shared" si="26"/>
        <v>S000400Domaine de l'Aurage Castillon Côtes de Bordeaux2019</v>
      </c>
      <c r="E399">
        <f t="shared" si="27"/>
        <v>1</v>
      </c>
      <c r="F399" t="s">
        <v>829</v>
      </c>
      <c r="G399" t="s">
        <v>830</v>
      </c>
      <c r="H399" t="s">
        <v>81</v>
      </c>
      <c r="I399" t="str">
        <f t="shared" si="25"/>
        <v>S000400Domaine de l'Aurage Castillon Côtes de Bordeaux2019</v>
      </c>
      <c r="J399">
        <f t="shared" si="28"/>
        <v>1</v>
      </c>
    </row>
    <row r="400" spans="1:10">
      <c r="A400" t="s">
        <v>831</v>
      </c>
      <c r="B400" t="s">
        <v>832</v>
      </c>
      <c r="C400" t="s">
        <v>695</v>
      </c>
      <c r="D400" t="str">
        <f t="shared" si="26"/>
        <v>S000401Chateau L'Eglise-Clinet Pomerol1990</v>
      </c>
      <c r="E400">
        <f t="shared" si="27"/>
        <v>1</v>
      </c>
      <c r="F400" t="s">
        <v>831</v>
      </c>
      <c r="G400" t="s">
        <v>832</v>
      </c>
      <c r="H400" t="s">
        <v>695</v>
      </c>
      <c r="I400" t="str">
        <f t="shared" si="25"/>
        <v>S000401Chateau L'Eglise-Clinet Pomerol1990</v>
      </c>
      <c r="J400">
        <f t="shared" si="28"/>
        <v>1</v>
      </c>
    </row>
    <row r="401" spans="1:10">
      <c r="A401" t="s">
        <v>833</v>
      </c>
      <c r="B401" t="s">
        <v>834</v>
      </c>
      <c r="C401" t="s">
        <v>713</v>
      </c>
      <c r="D401" t="str">
        <f t="shared" si="26"/>
        <v>S000402Chateau L'Evangile Pomerol2000</v>
      </c>
      <c r="E401">
        <f t="shared" si="27"/>
        <v>1</v>
      </c>
      <c r="F401" t="s">
        <v>833</v>
      </c>
      <c r="G401" t="s">
        <v>834</v>
      </c>
      <c r="H401" t="s">
        <v>713</v>
      </c>
      <c r="I401" t="str">
        <f t="shared" si="25"/>
        <v>S000402Chateau L'Evangile Pomerol2000</v>
      </c>
      <c r="J401">
        <f t="shared" si="28"/>
        <v>1</v>
      </c>
    </row>
    <row r="402" spans="1:10">
      <c r="A402" t="s">
        <v>835</v>
      </c>
      <c r="B402" t="s">
        <v>834</v>
      </c>
      <c r="C402" t="s">
        <v>137</v>
      </c>
      <c r="D402" t="str">
        <f t="shared" si="26"/>
        <v>S000403Chateau L'Evangile Pomerol2017</v>
      </c>
      <c r="E402">
        <f t="shared" si="27"/>
        <v>1</v>
      </c>
      <c r="F402" t="s">
        <v>835</v>
      </c>
      <c r="G402" t="s">
        <v>834</v>
      </c>
      <c r="H402" t="s">
        <v>137</v>
      </c>
      <c r="I402" t="str">
        <f t="shared" si="25"/>
        <v>S000403Chateau L'Evangile Pomerol2017</v>
      </c>
      <c r="J402">
        <f t="shared" si="28"/>
        <v>1</v>
      </c>
    </row>
    <row r="403" spans="1:10">
      <c r="A403" t="s">
        <v>836</v>
      </c>
      <c r="B403" t="s">
        <v>837</v>
      </c>
      <c r="C403" t="s">
        <v>137</v>
      </c>
      <c r="D403" t="str">
        <f t="shared" si="26"/>
        <v>S000404Chateau l'Hetre Castillon Côtes de Bordeaux2017</v>
      </c>
      <c r="E403">
        <f t="shared" si="27"/>
        <v>1</v>
      </c>
      <c r="F403" t="s">
        <v>836</v>
      </c>
      <c r="G403" t="s">
        <v>837</v>
      </c>
      <c r="H403" t="s">
        <v>137</v>
      </c>
      <c r="I403" t="str">
        <f t="shared" si="25"/>
        <v>S000404Chateau l'Hetre Castillon Côtes de Bordeaux2017</v>
      </c>
      <c r="J403">
        <f t="shared" si="28"/>
        <v>1</v>
      </c>
    </row>
    <row r="404" spans="1:10">
      <c r="A404" t="s">
        <v>839</v>
      </c>
      <c r="B404" t="s">
        <v>837</v>
      </c>
      <c r="C404" t="s">
        <v>81</v>
      </c>
      <c r="D404" t="str">
        <f t="shared" si="26"/>
        <v>S000405Chateau l'Hetre Castillon Côtes de Bordeaux2019</v>
      </c>
      <c r="E404">
        <f t="shared" si="27"/>
        <v>1</v>
      </c>
      <c r="F404" t="s">
        <v>839</v>
      </c>
      <c r="G404" t="s">
        <v>837</v>
      </c>
      <c r="H404" t="s">
        <v>81</v>
      </c>
      <c r="I404" t="str">
        <f t="shared" si="25"/>
        <v>S000405Chateau l'Hetre Castillon Côtes de Bordeaux2019</v>
      </c>
      <c r="J404">
        <f t="shared" si="28"/>
        <v>1</v>
      </c>
    </row>
    <row r="405" spans="1:10">
      <c r="A405" t="s">
        <v>840</v>
      </c>
      <c r="B405" t="s">
        <v>841</v>
      </c>
      <c r="C405" t="s">
        <v>114</v>
      </c>
      <c r="D405" t="str">
        <f t="shared" si="26"/>
        <v>S000406L'If Saint-Émilion Grand Cru2014</v>
      </c>
      <c r="E405">
        <f t="shared" si="27"/>
        <v>1</v>
      </c>
      <c r="F405" t="s">
        <v>840</v>
      </c>
      <c r="G405" t="s">
        <v>841</v>
      </c>
      <c r="H405" t="s">
        <v>114</v>
      </c>
      <c r="I405" t="str">
        <f t="shared" si="25"/>
        <v>S000406L'If Saint-Émilion Grand Cru2014</v>
      </c>
      <c r="J405">
        <f t="shared" si="28"/>
        <v>1</v>
      </c>
    </row>
    <row r="406" spans="1:10">
      <c r="A406" t="s">
        <v>842</v>
      </c>
      <c r="B406" t="s">
        <v>843</v>
      </c>
      <c r="C406" t="s">
        <v>118</v>
      </c>
      <c r="D406" t="str">
        <f t="shared" si="26"/>
        <v>S000407Chateau La Mission Haut-Brion Pessac-Léognan Grand Cru Classé2018</v>
      </c>
      <c r="E406">
        <f t="shared" si="27"/>
        <v>1</v>
      </c>
      <c r="F406" t="s">
        <v>842</v>
      </c>
      <c r="G406" t="s">
        <v>843</v>
      </c>
      <c r="H406" t="s">
        <v>118</v>
      </c>
      <c r="I406" t="str">
        <f t="shared" si="25"/>
        <v>S000407Chateau La Mission Haut-Brion Pessac-Léognan Grand Cru Classé2018</v>
      </c>
      <c r="J406">
        <f t="shared" si="28"/>
        <v>1</v>
      </c>
    </row>
    <row r="407" spans="1:10">
      <c r="A407" t="s">
        <v>844</v>
      </c>
      <c r="B407" t="s">
        <v>845</v>
      </c>
      <c r="C407" t="s">
        <v>56</v>
      </c>
      <c r="D407" t="str">
        <f t="shared" si="26"/>
        <v>S000408Domaine de la Commaraine Clos de la Commaraine Monopole Pommard Premier Cru2021</v>
      </c>
      <c r="E407">
        <f t="shared" si="27"/>
        <v>1</v>
      </c>
      <c r="F407" t="s">
        <v>844</v>
      </c>
      <c r="G407" t="s">
        <v>845</v>
      </c>
      <c r="H407" t="s">
        <v>56</v>
      </c>
      <c r="I407" t="str">
        <f t="shared" si="25"/>
        <v>S000408Domaine de la Commaraine Clos de la Commaraine Monopole Pommard Premier Cru2021</v>
      </c>
      <c r="J407">
        <f t="shared" si="28"/>
        <v>1</v>
      </c>
    </row>
    <row r="408" spans="1:10">
      <c r="A408" t="s">
        <v>846</v>
      </c>
      <c r="B408" t="s">
        <v>845</v>
      </c>
      <c r="C408" t="s">
        <v>92</v>
      </c>
      <c r="D408" t="str">
        <f t="shared" si="26"/>
        <v>S000409Domaine de la Commaraine Clos de la Commaraine Monopole Pommard Premier Cru2020</v>
      </c>
      <c r="E408">
        <f t="shared" si="27"/>
        <v>1</v>
      </c>
      <c r="F408" t="s">
        <v>846</v>
      </c>
      <c r="G408" t="s">
        <v>845</v>
      </c>
      <c r="H408" t="s">
        <v>92</v>
      </c>
      <c r="I408" t="str">
        <f t="shared" si="25"/>
        <v>S000409Domaine de la Commaraine Clos de la Commaraine Monopole Pommard Premier Cru2020</v>
      </c>
      <c r="J408">
        <f t="shared" si="28"/>
        <v>1</v>
      </c>
    </row>
    <row r="409" spans="1:10">
      <c r="A409" t="s">
        <v>847</v>
      </c>
      <c r="B409" t="s">
        <v>848</v>
      </c>
      <c r="C409" t="s">
        <v>276</v>
      </c>
      <c r="D409" t="str">
        <f t="shared" si="26"/>
        <v>S000410Chateau La Conseillante Pomerol1989</v>
      </c>
      <c r="E409">
        <f t="shared" si="27"/>
        <v>1</v>
      </c>
      <c r="F409" t="s">
        <v>847</v>
      </c>
      <c r="G409" t="s">
        <v>848</v>
      </c>
      <c r="H409" t="s">
        <v>276</v>
      </c>
      <c r="I409" t="str">
        <f t="shared" si="25"/>
        <v>S000410Chateau La Conseillante Pomerol1989</v>
      </c>
      <c r="J409">
        <f t="shared" si="28"/>
        <v>1</v>
      </c>
    </row>
    <row r="410" spans="1:10">
      <c r="A410" t="s">
        <v>849</v>
      </c>
      <c r="B410" t="s">
        <v>848</v>
      </c>
      <c r="C410" t="s">
        <v>137</v>
      </c>
      <c r="D410" t="str">
        <f t="shared" si="26"/>
        <v>S000411Chateau La Conseillante Pomerol2017</v>
      </c>
      <c r="E410">
        <f t="shared" si="27"/>
        <v>1</v>
      </c>
      <c r="F410" t="s">
        <v>849</v>
      </c>
      <c r="G410" t="s">
        <v>848</v>
      </c>
      <c r="H410" t="s">
        <v>137</v>
      </c>
      <c r="I410" t="str">
        <f t="shared" si="25"/>
        <v>S000411Chateau La Conseillante Pomerol2017</v>
      </c>
      <c r="J410">
        <f t="shared" si="28"/>
        <v>1</v>
      </c>
    </row>
    <row r="411" spans="1:10">
      <c r="A411" t="s">
        <v>850</v>
      </c>
      <c r="B411" t="s">
        <v>851</v>
      </c>
      <c r="C411" t="s">
        <v>129</v>
      </c>
      <c r="D411" t="str">
        <f t="shared" si="26"/>
        <v>S000412Chateau La Fleur de Gay Pomerol2016</v>
      </c>
      <c r="E411">
        <f t="shared" si="27"/>
        <v>1</v>
      </c>
      <c r="F411" t="s">
        <v>850</v>
      </c>
      <c r="G411" t="s">
        <v>851</v>
      </c>
      <c r="H411" t="s">
        <v>129</v>
      </c>
      <c r="I411" t="str">
        <f t="shared" si="25"/>
        <v>S000412Chateau La Fleur de Gay Pomerol2016</v>
      </c>
      <c r="J411">
        <f t="shared" si="28"/>
        <v>1</v>
      </c>
    </row>
    <row r="412" spans="1:10">
      <c r="A412" t="s">
        <v>852</v>
      </c>
      <c r="B412" t="s">
        <v>843</v>
      </c>
      <c r="C412" t="s">
        <v>129</v>
      </c>
      <c r="D412" t="str">
        <f t="shared" si="26"/>
        <v>S000413Chateau La Mission Haut-Brion Pessac-Léognan Grand Cru Classé2016</v>
      </c>
      <c r="E412">
        <f t="shared" si="27"/>
        <v>1</v>
      </c>
      <c r="F412" t="s">
        <v>852</v>
      </c>
      <c r="G412" t="s">
        <v>843</v>
      </c>
      <c r="H412" t="s">
        <v>129</v>
      </c>
      <c r="I412" t="str">
        <f t="shared" si="25"/>
        <v>S000413Chateau La Mission Haut-Brion Pessac-Léognan Grand Cru Classé2016</v>
      </c>
      <c r="J412">
        <f t="shared" si="28"/>
        <v>1</v>
      </c>
    </row>
    <row r="413" spans="1:10">
      <c r="A413" t="s">
        <v>853</v>
      </c>
      <c r="B413" t="s">
        <v>843</v>
      </c>
      <c r="C413" t="s">
        <v>137</v>
      </c>
      <c r="D413" t="str">
        <f t="shared" si="26"/>
        <v>S000414Chateau La Mission Haut-Brion Pessac-Léognan Grand Cru Classé2017</v>
      </c>
      <c r="E413">
        <f t="shared" si="27"/>
        <v>1</v>
      </c>
      <c r="F413" t="s">
        <v>853</v>
      </c>
      <c r="G413" t="s">
        <v>843</v>
      </c>
      <c r="H413" t="s">
        <v>137</v>
      </c>
      <c r="I413" t="str">
        <f t="shared" si="25"/>
        <v>S000414Chateau La Mission Haut-Brion Pessac-Léognan Grand Cru Classé2017</v>
      </c>
      <c r="J413">
        <f t="shared" si="28"/>
        <v>1</v>
      </c>
    </row>
    <row r="414" spans="1:10">
      <c r="A414" t="s">
        <v>854</v>
      </c>
      <c r="B414" t="s">
        <v>843</v>
      </c>
      <c r="C414" t="s">
        <v>56</v>
      </c>
      <c r="D414" t="str">
        <f t="shared" si="26"/>
        <v>S000415Chateau La Mission Haut-Brion Pessac-Léognan Grand Cru Classé2021</v>
      </c>
      <c r="E414">
        <f t="shared" si="27"/>
        <v>1</v>
      </c>
      <c r="F414" t="s">
        <v>854</v>
      </c>
      <c r="G414" t="s">
        <v>843</v>
      </c>
      <c r="H414" t="s">
        <v>56</v>
      </c>
      <c r="I414" t="str">
        <f t="shared" si="25"/>
        <v>S000415Chateau La Mission Haut-Brion Pessac-Léognan Grand Cru Classé2021</v>
      </c>
      <c r="J414">
        <f t="shared" si="28"/>
        <v>1</v>
      </c>
    </row>
    <row r="415" spans="1:10">
      <c r="A415" t="s">
        <v>855</v>
      </c>
      <c r="B415" t="s">
        <v>856</v>
      </c>
      <c r="C415" t="s">
        <v>713</v>
      </c>
      <c r="D415" t="str">
        <f t="shared" si="26"/>
        <v>S000416Domaine de la Mordorée Châteauneuf-du-Pape 'Cuvée La Reine des Bois'2000</v>
      </c>
      <c r="E415">
        <f t="shared" si="27"/>
        <v>1</v>
      </c>
      <c r="F415" t="s">
        <v>855</v>
      </c>
      <c r="G415" t="s">
        <v>856</v>
      </c>
      <c r="H415" t="s">
        <v>713</v>
      </c>
      <c r="I415" t="str">
        <f t="shared" si="25"/>
        <v>S000416Domaine de la Mordorée Châteauneuf-du-Pape 'Cuvée La Reine des Bois'2000</v>
      </c>
      <c r="J415">
        <f t="shared" si="28"/>
        <v>1</v>
      </c>
    </row>
    <row r="416" spans="1:10">
      <c r="A416" t="s">
        <v>857</v>
      </c>
      <c r="B416" t="s">
        <v>856</v>
      </c>
      <c r="C416" t="s">
        <v>121</v>
      </c>
      <c r="D416" t="str">
        <f t="shared" si="26"/>
        <v>S000417Domaine de la Mordorée Châteauneuf-du-Pape 'Cuvée La Reine des Bois'2001</v>
      </c>
      <c r="E416">
        <f t="shared" si="27"/>
        <v>1</v>
      </c>
      <c r="F416" t="s">
        <v>857</v>
      </c>
      <c r="G416" t="s">
        <v>856</v>
      </c>
      <c r="H416" t="s">
        <v>121</v>
      </c>
      <c r="I416" t="str">
        <f t="shared" si="25"/>
        <v>S000417Domaine de la Mordorée Châteauneuf-du-Pape 'Cuvée La Reine des Bois'2001</v>
      </c>
      <c r="J416">
        <f t="shared" si="28"/>
        <v>1</v>
      </c>
    </row>
    <row r="417" spans="1:10">
      <c r="A417" t="s">
        <v>858</v>
      </c>
      <c r="B417" t="s">
        <v>859</v>
      </c>
      <c r="C417" t="s">
        <v>222</v>
      </c>
      <c r="D417" t="str">
        <f t="shared" si="26"/>
        <v>S000418Domaine de la Pousse d'Or Chambolle-Musigny 'Les Amoureuses' Premier Cru2015</v>
      </c>
      <c r="E417">
        <f t="shared" si="27"/>
        <v>1</v>
      </c>
      <c r="F417" t="s">
        <v>858</v>
      </c>
      <c r="G417" t="s">
        <v>859</v>
      </c>
      <c r="H417" t="s">
        <v>222</v>
      </c>
      <c r="I417" t="str">
        <f t="shared" si="25"/>
        <v>S000418Domaine de la Pousse d'Or Chambolle-Musigny 'Les Amoureuses' Premier Cru2015</v>
      </c>
      <c r="J417">
        <f t="shared" si="28"/>
        <v>1</v>
      </c>
    </row>
    <row r="418" spans="1:10">
      <c r="A418" t="s">
        <v>860</v>
      </c>
      <c r="B418" t="s">
        <v>861</v>
      </c>
      <c r="C418" t="s">
        <v>81</v>
      </c>
      <c r="D418" t="str">
        <f t="shared" si="26"/>
        <v>S000419Château Lafaurie-Peyraguey Sauternes Premier Grand Cru Classé2019</v>
      </c>
      <c r="E418">
        <f t="shared" si="27"/>
        <v>1</v>
      </c>
      <c r="F418" t="s">
        <v>860</v>
      </c>
      <c r="G418" t="s">
        <v>861</v>
      </c>
      <c r="H418" t="s">
        <v>81</v>
      </c>
      <c r="I418" t="str">
        <f t="shared" si="25"/>
        <v>S000419Château Lafaurie-Peyraguey Sauternes Premier Grand Cru Classé2019</v>
      </c>
      <c r="J418">
        <f t="shared" si="28"/>
        <v>1</v>
      </c>
    </row>
    <row r="419" spans="1:10">
      <c r="A419" t="s">
        <v>862</v>
      </c>
      <c r="B419" t="s">
        <v>863</v>
      </c>
      <c r="C419" t="s">
        <v>222</v>
      </c>
      <c r="D419" t="str">
        <f t="shared" si="26"/>
        <v>S000420Château Lafon-Rochet Saint-Estèphe Grand Cru Classé2015</v>
      </c>
      <c r="E419">
        <f t="shared" si="27"/>
        <v>1</v>
      </c>
      <c r="F419" t="s">
        <v>862</v>
      </c>
      <c r="G419" t="s">
        <v>863</v>
      </c>
      <c r="H419" t="s">
        <v>222</v>
      </c>
      <c r="I419" t="str">
        <f t="shared" si="25"/>
        <v>S000420Château Lafon-Rochet Saint-Estèphe Grand Cru Classé2015</v>
      </c>
      <c r="J419">
        <f t="shared" si="28"/>
        <v>1</v>
      </c>
    </row>
    <row r="420" spans="1:10">
      <c r="A420" t="s">
        <v>864</v>
      </c>
      <c r="B420" t="s">
        <v>865</v>
      </c>
      <c r="C420" t="s">
        <v>178</v>
      </c>
      <c r="D420" t="str">
        <f t="shared" si="26"/>
        <v>S000421Château Lagrange Saint-Julien Grand Cru Classé2003</v>
      </c>
      <c r="E420">
        <f t="shared" si="27"/>
        <v>1</v>
      </c>
      <c r="F420" t="s">
        <v>864</v>
      </c>
      <c r="G420" t="s">
        <v>865</v>
      </c>
      <c r="H420" t="s">
        <v>178</v>
      </c>
      <c r="I420" t="str">
        <f t="shared" si="25"/>
        <v>S000421Château Lagrange Saint-Julien Grand Cru Classé2003</v>
      </c>
      <c r="J420">
        <f t="shared" si="28"/>
        <v>1</v>
      </c>
    </row>
    <row r="421" spans="1:10">
      <c r="A421" t="s">
        <v>867</v>
      </c>
      <c r="B421" t="s">
        <v>865</v>
      </c>
      <c r="C421" t="s">
        <v>118</v>
      </c>
      <c r="D421" t="str">
        <f t="shared" si="26"/>
        <v>S000422Château Lagrange Saint-Julien Grand Cru Classé2018</v>
      </c>
      <c r="E421">
        <f t="shared" si="27"/>
        <v>1</v>
      </c>
      <c r="F421" t="s">
        <v>867</v>
      </c>
      <c r="G421" t="s">
        <v>865</v>
      </c>
      <c r="H421" t="s">
        <v>118</v>
      </c>
      <c r="I421" t="str">
        <f t="shared" si="25"/>
        <v>S000422Château Lagrange Saint-Julien Grand Cru Classé2018</v>
      </c>
      <c r="J421">
        <f t="shared" si="28"/>
        <v>1</v>
      </c>
    </row>
    <row r="422" spans="1:10">
      <c r="A422" t="s">
        <v>868</v>
      </c>
      <c r="B422" t="s">
        <v>865</v>
      </c>
      <c r="C422" t="s">
        <v>118</v>
      </c>
      <c r="D422" t="str">
        <f t="shared" si="26"/>
        <v>S000423Château Lagrange Saint-Julien Grand Cru Classé2018</v>
      </c>
      <c r="E422">
        <f t="shared" si="27"/>
        <v>1</v>
      </c>
      <c r="F422" t="s">
        <v>868</v>
      </c>
      <c r="G422" t="s">
        <v>865</v>
      </c>
      <c r="H422" t="s">
        <v>118</v>
      </c>
      <c r="I422" t="str">
        <f t="shared" si="25"/>
        <v>S000423Château Lagrange Saint-Julien Grand Cru Classé2018</v>
      </c>
      <c r="J422">
        <f t="shared" si="28"/>
        <v>1</v>
      </c>
    </row>
    <row r="423" spans="1:10">
      <c r="A423" t="s">
        <v>869</v>
      </c>
      <c r="B423" t="s">
        <v>870</v>
      </c>
      <c r="C423" t="s">
        <v>114</v>
      </c>
      <c r="D423" t="str">
        <f t="shared" si="26"/>
        <v>S000424Domaine des Lambrays Clos des Lambrays Grand Cru2014</v>
      </c>
      <c r="E423">
        <f t="shared" si="27"/>
        <v>1</v>
      </c>
      <c r="F423" t="s">
        <v>869</v>
      </c>
      <c r="G423" t="s">
        <v>870</v>
      </c>
      <c r="H423" t="s">
        <v>114</v>
      </c>
      <c r="I423" t="str">
        <f t="shared" si="25"/>
        <v>S000424Domaine des Lambrays Clos des Lambrays Grand Cru2014</v>
      </c>
      <c r="J423">
        <f t="shared" si="28"/>
        <v>1</v>
      </c>
    </row>
    <row r="424" spans="1:10">
      <c r="A424" t="s">
        <v>871</v>
      </c>
      <c r="B424" t="s">
        <v>870</v>
      </c>
      <c r="C424" t="s">
        <v>125</v>
      </c>
      <c r="D424" t="str">
        <f t="shared" si="26"/>
        <v>S000425Domaine des Lambrays Clos des Lambrays Grand Cru2008</v>
      </c>
      <c r="E424">
        <f t="shared" si="27"/>
        <v>1</v>
      </c>
      <c r="F424" t="s">
        <v>871</v>
      </c>
      <c r="G424" t="s">
        <v>870</v>
      </c>
      <c r="H424" t="s">
        <v>125</v>
      </c>
      <c r="I424" t="str">
        <f t="shared" si="25"/>
        <v>S000425Domaine des Lambrays Clos des Lambrays Grand Cru2008</v>
      </c>
      <c r="J424">
        <f t="shared" si="28"/>
        <v>1</v>
      </c>
    </row>
    <row r="425" spans="1:10">
      <c r="A425" t="s">
        <v>872</v>
      </c>
      <c r="B425" t="s">
        <v>873</v>
      </c>
      <c r="C425" t="s">
        <v>172</v>
      </c>
      <c r="D425" t="str">
        <f t="shared" si="26"/>
        <v>S000426Lancelot-Pienne 'Cuvee Perceval' Brut2012</v>
      </c>
      <c r="E425">
        <f t="shared" si="27"/>
        <v>1</v>
      </c>
      <c r="F425" t="s">
        <v>872</v>
      </c>
      <c r="G425" t="s">
        <v>873</v>
      </c>
      <c r="H425" t="s">
        <v>172</v>
      </c>
      <c r="I425" t="str">
        <f t="shared" si="25"/>
        <v>S000426Lancelot-Pienne 'Cuvee Perceval' Brut2012</v>
      </c>
      <c r="J425">
        <f t="shared" si="28"/>
        <v>1</v>
      </c>
    </row>
    <row r="426" spans="1:10">
      <c r="A426" t="s">
        <v>874</v>
      </c>
      <c r="B426" t="s">
        <v>875</v>
      </c>
      <c r="C426" t="s">
        <v>118</v>
      </c>
      <c r="D426" t="str">
        <f t="shared" si="26"/>
        <v>S000427Château Langoa Barton Saint-Julien Troisième Grand Cru Classé2018</v>
      </c>
      <c r="E426">
        <f t="shared" si="27"/>
        <v>1</v>
      </c>
      <c r="F426" t="s">
        <v>874</v>
      </c>
      <c r="G426" t="s">
        <v>875</v>
      </c>
      <c r="H426" t="s">
        <v>118</v>
      </c>
      <c r="I426" t="str">
        <f t="shared" si="25"/>
        <v>S000427Château Langoa Barton Saint-Julien Troisième Grand Cru Classé2018</v>
      </c>
      <c r="J426">
        <f t="shared" si="28"/>
        <v>1</v>
      </c>
    </row>
    <row r="427" spans="1:10">
      <c r="A427" t="s">
        <v>876</v>
      </c>
      <c r="B427" t="s">
        <v>877</v>
      </c>
      <c r="C427" t="s">
        <v>81</v>
      </c>
      <c r="D427" t="str">
        <f t="shared" si="26"/>
        <v>S000428Château Larrivet Haut-Brion Pessac-Léognan2019</v>
      </c>
      <c r="E427">
        <f t="shared" si="27"/>
        <v>1</v>
      </c>
      <c r="F427" t="s">
        <v>876</v>
      </c>
      <c r="G427" t="s">
        <v>877</v>
      </c>
      <c r="H427" t="s">
        <v>81</v>
      </c>
      <c r="I427" t="str">
        <f t="shared" si="25"/>
        <v>S000428Château Larrivet Haut-Brion Pessac-Léognan2019</v>
      </c>
      <c r="J427">
        <f t="shared" si="28"/>
        <v>1</v>
      </c>
    </row>
    <row r="428" spans="1:10">
      <c r="A428" t="s">
        <v>878</v>
      </c>
      <c r="B428" t="s">
        <v>879</v>
      </c>
      <c r="C428" t="s">
        <v>81</v>
      </c>
      <c r="D428" t="str">
        <f t="shared" si="26"/>
        <v>S000429Château Lascombes Margaux Deuxième Grand Cru Classé2019</v>
      </c>
      <c r="E428">
        <f t="shared" si="27"/>
        <v>1</v>
      </c>
      <c r="F428" t="s">
        <v>878</v>
      </c>
      <c r="G428" t="s">
        <v>879</v>
      </c>
      <c r="H428" t="s">
        <v>81</v>
      </c>
      <c r="I428" t="str">
        <f t="shared" si="25"/>
        <v>S000429Château Lascombes Margaux Deuxième Grand Cru Classé2019</v>
      </c>
      <c r="J428">
        <f t="shared" si="28"/>
        <v>1</v>
      </c>
    </row>
    <row r="429" spans="1:10">
      <c r="A429" t="s">
        <v>880</v>
      </c>
      <c r="B429" t="s">
        <v>879</v>
      </c>
      <c r="C429" t="s">
        <v>114</v>
      </c>
      <c r="D429" t="str">
        <f t="shared" si="26"/>
        <v>S000430Château Lascombes Margaux Deuxième Grand Cru Classé2014</v>
      </c>
      <c r="E429">
        <f t="shared" si="27"/>
        <v>1</v>
      </c>
      <c r="F429" t="s">
        <v>880</v>
      </c>
      <c r="G429" t="s">
        <v>879</v>
      </c>
      <c r="H429" t="s">
        <v>114</v>
      </c>
      <c r="I429" t="str">
        <f t="shared" si="25"/>
        <v>S000430Château Lascombes Margaux Deuxième Grand Cru Classé2014</v>
      </c>
      <c r="J429">
        <f t="shared" si="28"/>
        <v>1</v>
      </c>
    </row>
    <row r="430" spans="1:10">
      <c r="A430" t="s">
        <v>881</v>
      </c>
      <c r="B430" t="s">
        <v>882</v>
      </c>
      <c r="C430" t="s">
        <v>139</v>
      </c>
      <c r="D430" t="str">
        <f t="shared" si="26"/>
        <v>S000431Château Latour Pauillac Premier Grand Cru Classé2010</v>
      </c>
      <c r="E430">
        <f t="shared" si="27"/>
        <v>1</v>
      </c>
      <c r="F430" t="s">
        <v>881</v>
      </c>
      <c r="G430" t="s">
        <v>882</v>
      </c>
      <c r="H430" t="s">
        <v>139</v>
      </c>
      <c r="I430" t="str">
        <f t="shared" si="25"/>
        <v>S000431Château Latour Pauillac Premier Grand Cru Classé2010</v>
      </c>
      <c r="J430">
        <f t="shared" si="28"/>
        <v>1</v>
      </c>
    </row>
    <row r="431" spans="1:10">
      <c r="A431" t="s">
        <v>883</v>
      </c>
      <c r="B431" t="s">
        <v>884</v>
      </c>
      <c r="C431" t="s">
        <v>92</v>
      </c>
      <c r="D431" t="str">
        <f t="shared" si="26"/>
        <v>S000432Château Calon-Ségur 'Le C De Calon Ségur' Saint-Estèphe2020</v>
      </c>
      <c r="E431">
        <f t="shared" si="27"/>
        <v>1</v>
      </c>
      <c r="F431" t="s">
        <v>883</v>
      </c>
      <c r="G431" t="s">
        <v>884</v>
      </c>
      <c r="H431" t="s">
        <v>92</v>
      </c>
      <c r="I431" t="str">
        <f t="shared" si="25"/>
        <v>S000432Château Calon-Ségur 'Le C De Calon Ségur' Saint-Estèphe2020</v>
      </c>
      <c r="J431">
        <f t="shared" si="28"/>
        <v>1</v>
      </c>
    </row>
    <row r="432" spans="1:10">
      <c r="A432" t="s">
        <v>885</v>
      </c>
      <c r="B432" t="s">
        <v>886</v>
      </c>
      <c r="C432" t="s">
        <v>713</v>
      </c>
      <c r="D432" t="str">
        <f t="shared" si="26"/>
        <v>S000433Le Dôme Saint-Émilion Grand Cru2000</v>
      </c>
      <c r="E432">
        <f t="shared" si="27"/>
        <v>1</v>
      </c>
      <c r="F432" t="s">
        <v>885</v>
      </c>
      <c r="G432" t="s">
        <v>886</v>
      </c>
      <c r="H432" t="s">
        <v>713</v>
      </c>
      <c r="I432" t="str">
        <f t="shared" si="25"/>
        <v>S000433Le Dôme Saint-Émilion Grand Cru2000</v>
      </c>
      <c r="J432">
        <f t="shared" si="28"/>
        <v>1</v>
      </c>
    </row>
    <row r="433" spans="1:10">
      <c r="A433" t="s">
        <v>887</v>
      </c>
      <c r="B433" t="s">
        <v>888</v>
      </c>
      <c r="C433" t="s">
        <v>137</v>
      </c>
      <c r="D433" t="str">
        <f t="shared" si="26"/>
        <v>S000434Château Smith Haut Lafitte 'Le Petit Smith Haut Lafitte' Pessac-Léognan2017</v>
      </c>
      <c r="E433">
        <f t="shared" si="27"/>
        <v>1</v>
      </c>
      <c r="F433" t="s">
        <v>887</v>
      </c>
      <c r="G433" t="s">
        <v>888</v>
      </c>
      <c r="H433" t="s">
        <v>137</v>
      </c>
      <c r="I433" t="str">
        <f t="shared" si="25"/>
        <v>S000434Château Smith Haut Lafitte 'Le Petit Smith Haut Lafitte' Pessac-Léognan2017</v>
      </c>
      <c r="J433">
        <f t="shared" si="28"/>
        <v>1</v>
      </c>
    </row>
    <row r="434" spans="1:10">
      <c r="A434" t="s">
        <v>890</v>
      </c>
      <c r="B434" t="s">
        <v>891</v>
      </c>
      <c r="C434" t="s">
        <v>137</v>
      </c>
      <c r="D434" t="str">
        <f t="shared" si="26"/>
        <v>S000435Château Léoville-Las Cases 'Le Petit Lion du Marquis de Las Cases' Saint-Julien2017</v>
      </c>
      <c r="E434">
        <f t="shared" si="27"/>
        <v>1</v>
      </c>
      <c r="F434" t="s">
        <v>890</v>
      </c>
      <c r="G434" t="s">
        <v>891</v>
      </c>
      <c r="H434" t="s">
        <v>137</v>
      </c>
      <c r="I434" t="str">
        <f t="shared" si="25"/>
        <v>S000435Château Léoville-Las Cases 'Le Petit Lion du Marquis de Las Cases' Saint-Julien2017</v>
      </c>
      <c r="J434">
        <f t="shared" si="28"/>
        <v>1</v>
      </c>
    </row>
    <row r="435" spans="1:10">
      <c r="A435" t="s">
        <v>892</v>
      </c>
      <c r="B435" t="s">
        <v>893</v>
      </c>
      <c r="C435" t="s">
        <v>111</v>
      </c>
      <c r="D435" t="str">
        <f t="shared" si="26"/>
        <v>S000436Le Ragnaie Vigna Vecchia Brunello di Montalcino DOCG2013</v>
      </c>
      <c r="E435">
        <f t="shared" si="27"/>
        <v>1</v>
      </c>
      <c r="F435" t="s">
        <v>892</v>
      </c>
      <c r="G435" t="s">
        <v>893</v>
      </c>
      <c r="H435" t="s">
        <v>111</v>
      </c>
      <c r="I435" t="str">
        <f t="shared" si="25"/>
        <v>S000436Le Ragnaie Vigna Vecchia Brunello di Montalcino DOCG2013</v>
      </c>
      <c r="J435">
        <f t="shared" si="28"/>
        <v>1</v>
      </c>
    </row>
    <row r="436" spans="1:10">
      <c r="A436" t="s">
        <v>894</v>
      </c>
      <c r="B436" t="s">
        <v>895</v>
      </c>
      <c r="C436" t="s">
        <v>56</v>
      </c>
      <c r="D436" t="str">
        <f t="shared" si="26"/>
        <v>S000437Ornellaia 'Le Serre Nuove dell'Ornellaia' Bolgheri Rosso2021</v>
      </c>
      <c r="E436">
        <f t="shared" si="27"/>
        <v>1</v>
      </c>
      <c r="F436" t="s">
        <v>894</v>
      </c>
      <c r="G436" t="s">
        <v>895</v>
      </c>
      <c r="H436" t="s">
        <v>56</v>
      </c>
      <c r="I436" t="str">
        <f t="shared" si="25"/>
        <v>S000437Ornellaia 'Le Serre Nuove dell'Ornellaia' Bolgheri Rosso2021</v>
      </c>
      <c r="J436">
        <f t="shared" si="28"/>
        <v>1</v>
      </c>
    </row>
    <row r="437" spans="1:10">
      <c r="A437" t="s">
        <v>896</v>
      </c>
      <c r="B437" t="s">
        <v>897</v>
      </c>
      <c r="C437" t="s">
        <v>125</v>
      </c>
      <c r="D437" t="str">
        <f t="shared" si="26"/>
        <v>S000438Domaine Lecroisey Nuits-Saint-Georges 'Les Vaucrains' Premier Cru2008</v>
      </c>
      <c r="E437">
        <f t="shared" si="27"/>
        <v>1</v>
      </c>
      <c r="F437" t="s">
        <v>896</v>
      </c>
      <c r="G437" t="s">
        <v>897</v>
      </c>
      <c r="H437" t="s">
        <v>125</v>
      </c>
      <c r="I437" t="str">
        <f t="shared" si="25"/>
        <v>S000438Domaine Lecroisey Nuits-Saint-Georges 'Les Vaucrains' Premier Cru2008</v>
      </c>
      <c r="J437">
        <f t="shared" si="28"/>
        <v>1</v>
      </c>
    </row>
    <row r="438" spans="1:10">
      <c r="A438" t="s">
        <v>898</v>
      </c>
      <c r="B438" t="s">
        <v>899</v>
      </c>
      <c r="C438" t="s">
        <v>139</v>
      </c>
      <c r="D438" t="str">
        <f t="shared" si="26"/>
        <v>S000439Domaine Lecroisey Nuits-Saint-Georges 'Les Vallerots'2010</v>
      </c>
      <c r="E438">
        <f t="shared" si="27"/>
        <v>1</v>
      </c>
      <c r="F438" t="s">
        <v>898</v>
      </c>
      <c r="G438" t="s">
        <v>899</v>
      </c>
      <c r="H438" t="s">
        <v>139</v>
      </c>
      <c r="I438" t="str">
        <f t="shared" si="25"/>
        <v>S000439Domaine Lecroisey Nuits-Saint-Georges 'Les Vallerots'2010</v>
      </c>
      <c r="J438">
        <f t="shared" si="28"/>
        <v>1</v>
      </c>
    </row>
    <row r="439" spans="1:10">
      <c r="A439" t="s">
        <v>900</v>
      </c>
      <c r="B439" t="s">
        <v>901</v>
      </c>
      <c r="C439" t="s">
        <v>706</v>
      </c>
      <c r="D439" t="str">
        <f t="shared" si="26"/>
        <v>S000440Château Léoville Barton Saint-Julien Deuxième Grand Cru Classé1986</v>
      </c>
      <c r="E439">
        <f t="shared" si="27"/>
        <v>1</v>
      </c>
      <c r="F439" t="s">
        <v>900</v>
      </c>
      <c r="G439" t="s">
        <v>901</v>
      </c>
      <c r="H439" t="s">
        <v>706</v>
      </c>
      <c r="I439" t="str">
        <f t="shared" si="25"/>
        <v>S000440Château Léoville Barton Saint-Julien Deuxième Grand Cru Classé1986</v>
      </c>
      <c r="J439">
        <f t="shared" si="28"/>
        <v>1</v>
      </c>
    </row>
    <row r="440" spans="1:10">
      <c r="A440" t="s">
        <v>902</v>
      </c>
      <c r="B440" t="s">
        <v>901</v>
      </c>
      <c r="C440" t="s">
        <v>178</v>
      </c>
      <c r="D440" t="str">
        <f t="shared" si="26"/>
        <v>S000441Château Léoville Barton Saint-Julien Deuxième Grand Cru Classé2003</v>
      </c>
      <c r="E440">
        <f t="shared" si="27"/>
        <v>1</v>
      </c>
      <c r="F440" t="s">
        <v>902</v>
      </c>
      <c r="G440" t="s">
        <v>901</v>
      </c>
      <c r="H440" t="s">
        <v>178</v>
      </c>
      <c r="I440" t="str">
        <f t="shared" si="25"/>
        <v>S000441Château Léoville Barton Saint-Julien Deuxième Grand Cru Classé2003</v>
      </c>
      <c r="J440">
        <f t="shared" si="28"/>
        <v>1</v>
      </c>
    </row>
    <row r="441" spans="1:10">
      <c r="A441" t="s">
        <v>903</v>
      </c>
      <c r="B441" t="s">
        <v>904</v>
      </c>
      <c r="C441" t="s">
        <v>125</v>
      </c>
      <c r="D441" t="str">
        <f t="shared" si="26"/>
        <v>S000442Chateau Leoville-Las Cases 'Grand Vin de Leoville' Saint-Julien Premier Grand Cru Classé2008</v>
      </c>
      <c r="E441">
        <f t="shared" si="27"/>
        <v>1</v>
      </c>
      <c r="F441" t="s">
        <v>903</v>
      </c>
      <c r="G441" t="s">
        <v>904</v>
      </c>
      <c r="H441" t="s">
        <v>125</v>
      </c>
      <c r="I441" t="str">
        <f t="shared" si="25"/>
        <v>S000442Chateau Leoville-Las Cases 'Grand Vin de Leoville' Saint-Julien Premier Grand Cru Classé2008</v>
      </c>
      <c r="J441">
        <f t="shared" si="28"/>
        <v>1</v>
      </c>
    </row>
    <row r="442" spans="1:10">
      <c r="A442" t="s">
        <v>905</v>
      </c>
      <c r="B442" t="s">
        <v>906</v>
      </c>
      <c r="C442" t="s">
        <v>907</v>
      </c>
      <c r="D442" t="str">
        <f t="shared" si="26"/>
        <v>S000443Château Léoville Poyferré Saint-Julien Deuxième Grand Cru Classé1983</v>
      </c>
      <c r="E442">
        <f t="shared" si="27"/>
        <v>1</v>
      </c>
      <c r="F442" t="s">
        <v>905</v>
      </c>
      <c r="G442" t="s">
        <v>906</v>
      </c>
      <c r="H442" t="s">
        <v>907</v>
      </c>
      <c r="I442" t="str">
        <f t="shared" si="25"/>
        <v>S000443Château Léoville Poyferré Saint-Julien Deuxième Grand Cru Classé1983</v>
      </c>
      <c r="J442">
        <f t="shared" si="28"/>
        <v>1</v>
      </c>
    </row>
    <row r="443" spans="1:10">
      <c r="A443" t="s">
        <v>908</v>
      </c>
      <c r="B443" t="s">
        <v>906</v>
      </c>
      <c r="C443" t="s">
        <v>137</v>
      </c>
      <c r="D443" t="str">
        <f t="shared" si="26"/>
        <v>S000444Château Léoville Poyferré Saint-Julien Deuxième Grand Cru Classé2017</v>
      </c>
      <c r="E443">
        <f t="shared" si="27"/>
        <v>1</v>
      </c>
      <c r="F443" t="s">
        <v>908</v>
      </c>
      <c r="G443" t="s">
        <v>906</v>
      </c>
      <c r="H443" t="s">
        <v>137</v>
      </c>
      <c r="I443" t="str">
        <f t="shared" si="25"/>
        <v>S000444Château Léoville Poyferré Saint-Julien Deuxième Grand Cru Classé2017</v>
      </c>
      <c r="J443">
        <f t="shared" si="28"/>
        <v>1</v>
      </c>
    </row>
    <row r="444" spans="1:10">
      <c r="A444" t="s">
        <v>909</v>
      </c>
      <c r="B444" t="s">
        <v>910</v>
      </c>
      <c r="C444" t="s">
        <v>92</v>
      </c>
      <c r="D444" t="str">
        <f t="shared" si="26"/>
        <v>S000445Maison Leroy Beaujolais Villages Primeur2020</v>
      </c>
      <c r="E444">
        <f t="shared" si="27"/>
        <v>1</v>
      </c>
      <c r="F444" t="s">
        <v>909</v>
      </c>
      <c r="G444" t="s">
        <v>910</v>
      </c>
      <c r="H444" t="s">
        <v>92</v>
      </c>
      <c r="I444" t="str">
        <f t="shared" si="25"/>
        <v>S000445Maison Leroy Beaujolais Villages Primeur2020</v>
      </c>
      <c r="J444">
        <f t="shared" si="28"/>
        <v>1</v>
      </c>
    </row>
    <row r="445" spans="1:10">
      <c r="A445" t="s">
        <v>911</v>
      </c>
      <c r="B445" t="s">
        <v>912</v>
      </c>
      <c r="C445" t="s">
        <v>346</v>
      </c>
      <c r="D445" t="str">
        <f t="shared" si="26"/>
        <v>S000446Domaine Leroy Chambolle-Musigny2004</v>
      </c>
      <c r="E445">
        <f t="shared" si="27"/>
        <v>1</v>
      </c>
      <c r="F445" t="s">
        <v>911</v>
      </c>
      <c r="G445" t="s">
        <v>912</v>
      </c>
      <c r="H445" t="s">
        <v>346</v>
      </c>
      <c r="I445" t="str">
        <f t="shared" si="25"/>
        <v>S000446Domaine Leroy Chambolle-Musigny2004</v>
      </c>
      <c r="J445">
        <f t="shared" si="28"/>
        <v>1</v>
      </c>
    </row>
    <row r="446" spans="1:10">
      <c r="A446" t="s">
        <v>913</v>
      </c>
      <c r="B446" t="s">
        <v>914</v>
      </c>
      <c r="C446" t="s">
        <v>123</v>
      </c>
      <c r="D446" t="str">
        <f t="shared" si="26"/>
        <v>S000447Domaine Leroy Corton-Renardes Grand Cru2006</v>
      </c>
      <c r="E446">
        <f t="shared" si="27"/>
        <v>1</v>
      </c>
      <c r="F446" t="s">
        <v>913</v>
      </c>
      <c r="G446" t="s">
        <v>914</v>
      </c>
      <c r="H446" t="s">
        <v>123</v>
      </c>
      <c r="I446" t="str">
        <f t="shared" si="25"/>
        <v>S000447Domaine Leroy Corton-Renardes Grand Cru2006</v>
      </c>
      <c r="J446">
        <f t="shared" si="28"/>
        <v>1</v>
      </c>
    </row>
    <row r="447" spans="1:10">
      <c r="A447" t="s">
        <v>915</v>
      </c>
      <c r="B447" t="s">
        <v>916</v>
      </c>
      <c r="C447" t="s">
        <v>917</v>
      </c>
      <c r="D447" t="str">
        <f t="shared" si="26"/>
        <v>S000448Domaine Leroy Musigny Grand Cru1998</v>
      </c>
      <c r="E447">
        <f t="shared" si="27"/>
        <v>1</v>
      </c>
      <c r="F447" t="s">
        <v>915</v>
      </c>
      <c r="G447" t="s">
        <v>916</v>
      </c>
      <c r="H447" t="s">
        <v>917</v>
      </c>
      <c r="I447" t="str">
        <f t="shared" si="25"/>
        <v>S000448Domaine Leroy Musigny Grand Cru1998</v>
      </c>
      <c r="J447">
        <f t="shared" si="28"/>
        <v>1</v>
      </c>
    </row>
    <row r="448" spans="1:10">
      <c r="A448" t="s">
        <v>918</v>
      </c>
      <c r="B448" t="s">
        <v>919</v>
      </c>
      <c r="C448" t="s">
        <v>123</v>
      </c>
      <c r="D448" t="str">
        <f t="shared" si="26"/>
        <v>S000449Domaine Leroy Nuits-Saint-Georges 'Les Boudots' Premier Cru2006</v>
      </c>
      <c r="E448">
        <f t="shared" si="27"/>
        <v>1</v>
      </c>
      <c r="F448" t="s">
        <v>918</v>
      </c>
      <c r="G448" t="s">
        <v>919</v>
      </c>
      <c r="H448" t="s">
        <v>123</v>
      </c>
      <c r="I448" t="str">
        <f t="shared" si="25"/>
        <v>S000449Domaine Leroy Nuits-Saint-Georges 'Les Boudots' Premier Cru2006</v>
      </c>
      <c r="J448">
        <f t="shared" si="28"/>
        <v>1</v>
      </c>
    </row>
    <row r="449" spans="1:10">
      <c r="A449" t="s">
        <v>920</v>
      </c>
      <c r="B449" t="s">
        <v>921</v>
      </c>
      <c r="C449" t="s">
        <v>273</v>
      </c>
      <c r="D449" t="str">
        <f t="shared" si="26"/>
        <v>S000450Chateau Les Carmes Haut-Brion Pessac-Léognan2005</v>
      </c>
      <c r="E449">
        <f t="shared" si="27"/>
        <v>1</v>
      </c>
      <c r="F449" t="s">
        <v>920</v>
      </c>
      <c r="G449" t="s">
        <v>921</v>
      </c>
      <c r="H449" t="s">
        <v>273</v>
      </c>
      <c r="I449" t="str">
        <f t="shared" ref="I449:I512" si="29">F449&amp;G449&amp;H449</f>
        <v>S000450Chateau Les Carmes Haut-Brion Pessac-Léognan2005</v>
      </c>
      <c r="J449">
        <f t="shared" si="28"/>
        <v>1</v>
      </c>
    </row>
    <row r="450" spans="1:10">
      <c r="A450" t="s">
        <v>922</v>
      </c>
      <c r="B450" t="s">
        <v>923</v>
      </c>
      <c r="C450" t="s">
        <v>137</v>
      </c>
      <c r="D450" t="str">
        <f t="shared" si="26"/>
        <v>S000451Chateau Latour 'Les Forts de Latour' Pauillac2017</v>
      </c>
      <c r="E450">
        <f t="shared" si="27"/>
        <v>1</v>
      </c>
      <c r="F450" t="s">
        <v>922</v>
      </c>
      <c r="G450" t="s">
        <v>923</v>
      </c>
      <c r="H450" t="s">
        <v>137</v>
      </c>
      <c r="I450" t="str">
        <f t="shared" si="29"/>
        <v>S000451Chateau Latour 'Les Forts de Latour' Pauillac2017</v>
      </c>
      <c r="J450">
        <f t="shared" si="28"/>
        <v>1</v>
      </c>
    </row>
    <row r="451" spans="1:10">
      <c r="A451" t="s">
        <v>924</v>
      </c>
      <c r="B451" t="s">
        <v>925</v>
      </c>
      <c r="C451" t="s">
        <v>222</v>
      </c>
      <c r="D451" t="str">
        <f t="shared" ref="D451:D514" si="30">A451&amp;B451&amp;C451</f>
        <v>S000452Chateau Les Ormes-de-Pez Saint-Estèphe2015</v>
      </c>
      <c r="E451">
        <f t="shared" ref="E451:E514" si="31">IF(A451=F451,1,0)</f>
        <v>1</v>
      </c>
      <c r="F451" t="s">
        <v>924</v>
      </c>
      <c r="G451" t="s">
        <v>925</v>
      </c>
      <c r="H451" t="s">
        <v>222</v>
      </c>
      <c r="I451" t="str">
        <f t="shared" si="29"/>
        <v>S000452Chateau Les Ormes-de-Pez Saint-Estèphe2015</v>
      </c>
      <c r="J451">
        <f t="shared" ref="J451:J514" si="32">IF(D451=I451,1,0)</f>
        <v>1</v>
      </c>
    </row>
    <row r="452" spans="1:10">
      <c r="A452" t="s">
        <v>926</v>
      </c>
      <c r="B452" t="s">
        <v>927</v>
      </c>
      <c r="C452" t="s">
        <v>129</v>
      </c>
      <c r="D452" t="str">
        <f t="shared" si="30"/>
        <v>S000453Chateau Lilian Ladouys Saint-Estèphe2016</v>
      </c>
      <c r="E452">
        <f t="shared" si="31"/>
        <v>1</v>
      </c>
      <c r="F452" t="s">
        <v>926</v>
      </c>
      <c r="G452" t="s">
        <v>927</v>
      </c>
      <c r="H452" t="s">
        <v>129</v>
      </c>
      <c r="I452" t="str">
        <f t="shared" si="29"/>
        <v>S000453Chateau Lilian Ladouys Saint-Estèphe2016</v>
      </c>
      <c r="J452">
        <f t="shared" si="32"/>
        <v>1</v>
      </c>
    </row>
    <row r="453" spans="1:10">
      <c r="A453" t="s">
        <v>928</v>
      </c>
      <c r="B453" t="s">
        <v>929</v>
      </c>
      <c r="C453" t="s">
        <v>172</v>
      </c>
      <c r="D453" t="str">
        <f t="shared" si="30"/>
        <v>S000454Louis Jadot Beaune 'Cent Vignes' Premier Cru2012</v>
      </c>
      <c r="E453">
        <f t="shared" si="31"/>
        <v>1</v>
      </c>
      <c r="F453" t="s">
        <v>928</v>
      </c>
      <c r="G453" t="s">
        <v>929</v>
      </c>
      <c r="H453" t="s">
        <v>172</v>
      </c>
      <c r="I453" t="str">
        <f t="shared" si="29"/>
        <v>S000454Louis Jadot Beaune 'Cent Vignes' Premier Cru2012</v>
      </c>
      <c r="J453">
        <f t="shared" si="32"/>
        <v>1</v>
      </c>
    </row>
    <row r="454" spans="1:10">
      <c r="A454" t="s">
        <v>930</v>
      </c>
      <c r="B454" t="s">
        <v>931</v>
      </c>
      <c r="C454" t="s">
        <v>273</v>
      </c>
      <c r="D454" t="str">
        <f t="shared" si="30"/>
        <v>S000455Louis Jadot Nuits-Saint-Georges 'Les Boudots' Premier Cru2005</v>
      </c>
      <c r="E454">
        <f t="shared" si="31"/>
        <v>1</v>
      </c>
      <c r="F454" t="s">
        <v>930</v>
      </c>
      <c r="G454" t="s">
        <v>931</v>
      </c>
      <c r="H454" t="s">
        <v>273</v>
      </c>
      <c r="I454" t="str">
        <f t="shared" si="29"/>
        <v>S000455Louis Jadot Nuits-Saint-Georges 'Les Boudots' Premier Cru2005</v>
      </c>
      <c r="J454">
        <f t="shared" si="32"/>
        <v>1</v>
      </c>
    </row>
    <row r="455" spans="1:10">
      <c r="A455" t="s">
        <v>932</v>
      </c>
      <c r="B455" t="s">
        <v>933</v>
      </c>
      <c r="C455" t="s">
        <v>172</v>
      </c>
      <c r="D455" t="str">
        <f t="shared" si="30"/>
        <v>S000456Louis Jadot Chambolle-Musigny 'Les Fuees' Premier Cru2012</v>
      </c>
      <c r="E455">
        <f t="shared" si="31"/>
        <v>1</v>
      </c>
      <c r="F455" t="s">
        <v>932</v>
      </c>
      <c r="G455" t="s">
        <v>933</v>
      </c>
      <c r="H455" t="s">
        <v>172</v>
      </c>
      <c r="I455" t="str">
        <f t="shared" si="29"/>
        <v>S000456Louis Jadot Chambolle-Musigny 'Les Fuees' Premier Cru2012</v>
      </c>
      <c r="J455">
        <f t="shared" si="32"/>
        <v>1</v>
      </c>
    </row>
    <row r="456" spans="1:10">
      <c r="A456" t="s">
        <v>934</v>
      </c>
      <c r="B456" t="s">
        <v>935</v>
      </c>
      <c r="C456" t="s">
        <v>172</v>
      </c>
      <c r="D456" t="str">
        <f t="shared" si="30"/>
        <v>S000457Louis Jadot Gevrey-Chambertin 'Lavaux Saint-Jacques' Premier Cru2012</v>
      </c>
      <c r="E456">
        <f t="shared" si="31"/>
        <v>1</v>
      </c>
      <c r="F456" t="s">
        <v>934</v>
      </c>
      <c r="G456" t="s">
        <v>935</v>
      </c>
      <c r="H456" t="s">
        <v>172</v>
      </c>
      <c r="I456" t="str">
        <f t="shared" si="29"/>
        <v>S000457Louis Jadot Gevrey-Chambertin 'Lavaux Saint-Jacques' Premier Cru2012</v>
      </c>
      <c r="J456">
        <f t="shared" si="32"/>
        <v>1</v>
      </c>
    </row>
    <row r="457" spans="1:10">
      <c r="A457" t="s">
        <v>936</v>
      </c>
      <c r="B457" t="s">
        <v>935</v>
      </c>
      <c r="C457" t="s">
        <v>111</v>
      </c>
      <c r="D457" t="str">
        <f t="shared" si="30"/>
        <v>S000458Louis Jadot Gevrey-Chambertin 'Lavaux Saint-Jacques' Premier Cru2013</v>
      </c>
      <c r="E457">
        <f t="shared" si="31"/>
        <v>1</v>
      </c>
      <c r="F457" t="s">
        <v>936</v>
      </c>
      <c r="G457" t="s">
        <v>935</v>
      </c>
      <c r="H457" t="s">
        <v>111</v>
      </c>
      <c r="I457" t="str">
        <f t="shared" si="29"/>
        <v>S000458Louis Jadot Gevrey-Chambertin 'Lavaux Saint-Jacques' Premier Cru2013</v>
      </c>
      <c r="J457">
        <f t="shared" si="32"/>
        <v>1</v>
      </c>
    </row>
    <row r="458" spans="1:10">
      <c r="A458" t="s">
        <v>937</v>
      </c>
      <c r="B458" t="s">
        <v>938</v>
      </c>
      <c r="C458" t="s">
        <v>114</v>
      </c>
      <c r="D458" t="str">
        <f t="shared" si="30"/>
        <v>S000459Louis Roederer 'Cristal' Brut2014</v>
      </c>
      <c r="E458">
        <f t="shared" si="31"/>
        <v>1</v>
      </c>
      <c r="F458" t="s">
        <v>937</v>
      </c>
      <c r="G458" t="s">
        <v>938</v>
      </c>
      <c r="H458" t="s">
        <v>114</v>
      </c>
      <c r="I458" t="str">
        <f t="shared" si="29"/>
        <v>S000459Louis Roederer 'Cristal' Brut2014</v>
      </c>
      <c r="J458">
        <f t="shared" si="32"/>
        <v>1</v>
      </c>
    </row>
    <row r="459" spans="1:10">
      <c r="A459" t="s">
        <v>939</v>
      </c>
      <c r="B459" t="s">
        <v>940</v>
      </c>
      <c r="C459" t="s">
        <v>114</v>
      </c>
      <c r="D459" t="str">
        <f t="shared" si="30"/>
        <v>S000460Louis Roederer 'Cristal' Brut (Gift Box)2014</v>
      </c>
      <c r="E459">
        <f t="shared" si="31"/>
        <v>1</v>
      </c>
      <c r="F459" t="s">
        <v>939</v>
      </c>
      <c r="G459" t="s">
        <v>2428</v>
      </c>
      <c r="H459" t="s">
        <v>114</v>
      </c>
      <c r="I459" t="str">
        <f t="shared" si="29"/>
        <v>S000460Louis Roederer 'Cristal' Brut (Gift Box)2014</v>
      </c>
      <c r="J459">
        <f t="shared" si="32"/>
        <v>1</v>
      </c>
    </row>
    <row r="460" spans="1:10">
      <c r="A460" t="s">
        <v>941</v>
      </c>
      <c r="B460" t="s">
        <v>942</v>
      </c>
      <c r="C460" t="s">
        <v>127</v>
      </c>
      <c r="D460" t="str">
        <f t="shared" si="30"/>
        <v>S000461Domaine Lucie et Auguste Lignier Clos de la Roche Grand Cru2009</v>
      </c>
      <c r="E460">
        <f t="shared" si="31"/>
        <v>1</v>
      </c>
      <c r="F460" t="s">
        <v>941</v>
      </c>
      <c r="G460" t="s">
        <v>942</v>
      </c>
      <c r="H460" t="s">
        <v>127</v>
      </c>
      <c r="I460" t="str">
        <f t="shared" si="29"/>
        <v>S000461Domaine Lucie et Auguste Lignier Clos de la Roche Grand Cru2009</v>
      </c>
      <c r="J460">
        <f t="shared" si="32"/>
        <v>1</v>
      </c>
    </row>
    <row r="461" spans="1:10">
      <c r="A461" t="s">
        <v>943</v>
      </c>
      <c r="B461" t="s">
        <v>944</v>
      </c>
      <c r="C461" t="s">
        <v>172</v>
      </c>
      <c r="D461" t="str">
        <f t="shared" si="30"/>
        <v>S000462M. Chapoutier Châteauneuf-du-Pape 'Barbe Rac'2012</v>
      </c>
      <c r="E461">
        <f t="shared" si="31"/>
        <v>1</v>
      </c>
      <c r="F461" t="s">
        <v>943</v>
      </c>
      <c r="G461" t="s">
        <v>944</v>
      </c>
      <c r="H461" t="s">
        <v>172</v>
      </c>
      <c r="I461" t="str">
        <f t="shared" si="29"/>
        <v>S000462M. Chapoutier Châteauneuf-du-Pape 'Barbe Rac'2012</v>
      </c>
      <c r="J461">
        <f t="shared" si="32"/>
        <v>1</v>
      </c>
    </row>
    <row r="462" spans="1:10">
      <c r="A462" t="s">
        <v>945</v>
      </c>
      <c r="B462" t="s">
        <v>944</v>
      </c>
      <c r="C462" t="s">
        <v>178</v>
      </c>
      <c r="D462" t="str">
        <f t="shared" si="30"/>
        <v>S000463M. Chapoutier Châteauneuf-du-Pape 'Barbe Rac'2003</v>
      </c>
      <c r="E462">
        <f t="shared" si="31"/>
        <v>1</v>
      </c>
      <c r="F462" t="s">
        <v>945</v>
      </c>
      <c r="G462" t="s">
        <v>944</v>
      </c>
      <c r="H462" t="s">
        <v>178</v>
      </c>
      <c r="I462" t="str">
        <f t="shared" si="29"/>
        <v>S000463M. Chapoutier Châteauneuf-du-Pape 'Barbe Rac'2003</v>
      </c>
      <c r="J462">
        <f t="shared" si="32"/>
        <v>1</v>
      </c>
    </row>
    <row r="463" spans="1:10">
      <c r="A463" t="s">
        <v>946</v>
      </c>
      <c r="B463" t="s">
        <v>947</v>
      </c>
      <c r="C463" t="s">
        <v>92</v>
      </c>
      <c r="D463" t="str">
        <f t="shared" si="30"/>
        <v>S000464Marthe Henry Boillot Bourgogne 'La Monatine' Blanc2020</v>
      </c>
      <c r="E463">
        <f t="shared" si="31"/>
        <v>1</v>
      </c>
      <c r="F463" t="s">
        <v>946</v>
      </c>
      <c r="G463" t="s">
        <v>947</v>
      </c>
      <c r="H463" t="s">
        <v>92</v>
      </c>
      <c r="I463" t="str">
        <f t="shared" si="29"/>
        <v>S000464Marthe Henry Boillot Bourgogne 'La Monatine' Blanc2020</v>
      </c>
      <c r="J463">
        <f t="shared" si="32"/>
        <v>1</v>
      </c>
    </row>
    <row r="464" spans="1:10">
      <c r="A464" t="s">
        <v>948</v>
      </c>
      <c r="B464" t="s">
        <v>949</v>
      </c>
      <c r="C464" t="s">
        <v>92</v>
      </c>
      <c r="D464" t="str">
        <f t="shared" si="30"/>
        <v>S000465Marthe Henry Boillot Bourgogne 'Les Grandes Gouttes'2020</v>
      </c>
      <c r="E464">
        <f t="shared" si="31"/>
        <v>1</v>
      </c>
      <c r="F464" t="s">
        <v>948</v>
      </c>
      <c r="G464" t="s">
        <v>949</v>
      </c>
      <c r="H464" t="s">
        <v>92</v>
      </c>
      <c r="I464" t="str">
        <f t="shared" si="29"/>
        <v>S000465Marthe Henry Boillot Bourgogne 'Les Grandes Gouttes'2020</v>
      </c>
      <c r="J464">
        <f t="shared" si="32"/>
        <v>1</v>
      </c>
    </row>
    <row r="465" spans="1:10">
      <c r="A465" t="s">
        <v>950</v>
      </c>
      <c r="B465" t="s">
        <v>951</v>
      </c>
      <c r="C465" t="s">
        <v>92</v>
      </c>
      <c r="D465" t="str">
        <f t="shared" si="30"/>
        <v>S000466Marthe Henry Boillot Bourgogne Rouge 2020</v>
      </c>
      <c r="E465">
        <f t="shared" si="31"/>
        <v>1</v>
      </c>
      <c r="F465" t="s">
        <v>950</v>
      </c>
      <c r="G465" t="s">
        <v>951</v>
      </c>
      <c r="H465" t="s">
        <v>92</v>
      </c>
      <c r="I465" t="str">
        <f t="shared" si="29"/>
        <v>S000466Marthe Henry Boillot Bourgogne Rouge 2020</v>
      </c>
      <c r="J465">
        <f t="shared" si="32"/>
        <v>1</v>
      </c>
    </row>
    <row r="466" spans="1:10">
      <c r="A466" t="s">
        <v>952</v>
      </c>
      <c r="B466" t="s">
        <v>953</v>
      </c>
      <c r="C466" t="s">
        <v>92</v>
      </c>
      <c r="D466" t="str">
        <f t="shared" si="30"/>
        <v>S000467Marthe Henry Boillot Meursault 'Sous la Velle'2020</v>
      </c>
      <c r="E466">
        <f t="shared" si="31"/>
        <v>1</v>
      </c>
      <c r="F466" t="s">
        <v>952</v>
      </c>
      <c r="G466" t="s">
        <v>953</v>
      </c>
      <c r="H466" t="s">
        <v>92</v>
      </c>
      <c r="I466" t="str">
        <f t="shared" si="29"/>
        <v>S000467Marthe Henry Boillot Meursault 'Sous la Velle'2020</v>
      </c>
      <c r="J466">
        <f t="shared" si="32"/>
        <v>1</v>
      </c>
    </row>
    <row r="467" spans="1:10">
      <c r="A467" t="s">
        <v>954</v>
      </c>
      <c r="B467" t="s">
        <v>955</v>
      </c>
      <c r="C467" t="s">
        <v>56</v>
      </c>
      <c r="D467" t="str">
        <f t="shared" si="30"/>
        <v>S000468Marthe Henry Boillot Montagny Blanc2021</v>
      </c>
      <c r="E467">
        <f t="shared" si="31"/>
        <v>1</v>
      </c>
      <c r="F467" t="s">
        <v>954</v>
      </c>
      <c r="G467" t="s">
        <v>955</v>
      </c>
      <c r="H467" t="s">
        <v>56</v>
      </c>
      <c r="I467" t="str">
        <f t="shared" si="29"/>
        <v>S000468Marthe Henry Boillot Montagny Blanc2021</v>
      </c>
      <c r="J467">
        <f t="shared" si="32"/>
        <v>1</v>
      </c>
    </row>
    <row r="468" spans="1:10">
      <c r="A468" t="s">
        <v>956</v>
      </c>
      <c r="B468" t="s">
        <v>957</v>
      </c>
      <c r="C468" t="s">
        <v>92</v>
      </c>
      <c r="D468" t="str">
        <f t="shared" si="30"/>
        <v>S000469Marthe Henry Boillot Pommard 'Les Vignots'2020</v>
      </c>
      <c r="E468">
        <f t="shared" si="31"/>
        <v>1</v>
      </c>
      <c r="F468" t="s">
        <v>956</v>
      </c>
      <c r="G468" t="s">
        <v>957</v>
      </c>
      <c r="H468" t="s">
        <v>92</v>
      </c>
      <c r="I468" t="str">
        <f t="shared" si="29"/>
        <v>S000469Marthe Henry Boillot Pommard 'Les Vignots'2020</v>
      </c>
      <c r="J468">
        <f t="shared" si="32"/>
        <v>1</v>
      </c>
    </row>
    <row r="469" spans="1:10">
      <c r="A469" t="s">
        <v>958</v>
      </c>
      <c r="B469" t="s">
        <v>959</v>
      </c>
      <c r="C469" t="s">
        <v>56</v>
      </c>
      <c r="D469" t="str">
        <f t="shared" si="30"/>
        <v>S000470Marthe Henry Boillot Bourgogne 'Saint-Martin'2021</v>
      </c>
      <c r="E469">
        <f t="shared" si="31"/>
        <v>1</v>
      </c>
      <c r="F469" t="s">
        <v>958</v>
      </c>
      <c r="G469" t="s">
        <v>959</v>
      </c>
      <c r="H469" t="s">
        <v>56</v>
      </c>
      <c r="I469" t="str">
        <f t="shared" si="29"/>
        <v>S000470Marthe Henry Boillot Bourgogne 'Saint-Martin'2021</v>
      </c>
      <c r="J469">
        <f t="shared" si="32"/>
        <v>1</v>
      </c>
    </row>
    <row r="470" spans="1:10">
      <c r="A470" t="s">
        <v>960</v>
      </c>
      <c r="B470" t="s">
        <v>961</v>
      </c>
      <c r="C470" t="s">
        <v>56</v>
      </c>
      <c r="D470" t="str">
        <f t="shared" si="30"/>
        <v>S000471Marthe Henry Boillot Saint-Romain 'Perriere'2021</v>
      </c>
      <c r="E470">
        <f t="shared" si="31"/>
        <v>1</v>
      </c>
      <c r="F470" t="s">
        <v>960</v>
      </c>
      <c r="G470" t="s">
        <v>961</v>
      </c>
      <c r="H470" t="s">
        <v>56</v>
      </c>
      <c r="I470" t="str">
        <f t="shared" si="29"/>
        <v>S000471Marthe Henry Boillot Saint-Romain 'Perriere'2021</v>
      </c>
      <c r="J470">
        <f t="shared" si="32"/>
        <v>1</v>
      </c>
    </row>
    <row r="471" spans="1:10">
      <c r="A471" t="s">
        <v>962</v>
      </c>
      <c r="B471" t="s">
        <v>963</v>
      </c>
      <c r="C471" t="s">
        <v>92</v>
      </c>
      <c r="D471" t="str">
        <f t="shared" si="30"/>
        <v>S000472Marthe Henry Boillot Saint-Romain2020</v>
      </c>
      <c r="E471">
        <f t="shared" si="31"/>
        <v>1</v>
      </c>
      <c r="F471" t="s">
        <v>962</v>
      </c>
      <c r="G471" t="s">
        <v>963</v>
      </c>
      <c r="H471" t="s">
        <v>92</v>
      </c>
      <c r="I471" t="str">
        <f t="shared" si="29"/>
        <v>S000472Marthe Henry Boillot Saint-Romain2020</v>
      </c>
      <c r="J471">
        <f t="shared" si="32"/>
        <v>1</v>
      </c>
    </row>
    <row r="472" spans="1:10">
      <c r="A472" t="s">
        <v>964</v>
      </c>
      <c r="B472" t="s">
        <v>965</v>
      </c>
      <c r="C472" t="s">
        <v>92</v>
      </c>
      <c r="D472" t="str">
        <f t="shared" si="30"/>
        <v>S000473Marthe Henry Boillot Santenay 'Le Bievaux'2020</v>
      </c>
      <c r="E472">
        <f t="shared" si="31"/>
        <v>1</v>
      </c>
      <c r="F472" t="s">
        <v>964</v>
      </c>
      <c r="G472" t="s">
        <v>965</v>
      </c>
      <c r="H472" t="s">
        <v>92</v>
      </c>
      <c r="I472" t="str">
        <f t="shared" si="29"/>
        <v>S000473Marthe Henry Boillot Santenay 'Le Bievaux'2020</v>
      </c>
      <c r="J472">
        <f t="shared" si="32"/>
        <v>1</v>
      </c>
    </row>
    <row r="473" spans="1:10">
      <c r="A473" t="s">
        <v>966</v>
      </c>
      <c r="B473" t="s">
        <v>967</v>
      </c>
      <c r="C473" t="s">
        <v>425</v>
      </c>
      <c r="D473" t="str">
        <f t="shared" si="30"/>
        <v>S000474Maison Leroy Chambolle-Musigny 'Les Feusselottes' Premier Cru2002</v>
      </c>
      <c r="E473">
        <f t="shared" si="31"/>
        <v>1</v>
      </c>
      <c r="F473" t="s">
        <v>966</v>
      </c>
      <c r="G473" t="s">
        <v>967</v>
      </c>
      <c r="H473" t="s">
        <v>425</v>
      </c>
      <c r="I473" t="str">
        <f t="shared" si="29"/>
        <v>S000474Maison Leroy Chambolle-Musigny 'Les Feusselottes' Premier Cru2002</v>
      </c>
      <c r="J473">
        <f t="shared" si="32"/>
        <v>1</v>
      </c>
    </row>
    <row r="474" spans="1:10">
      <c r="A474" t="s">
        <v>968</v>
      </c>
      <c r="B474" t="s">
        <v>969</v>
      </c>
      <c r="C474" t="s">
        <v>81</v>
      </c>
      <c r="D474" t="str">
        <f t="shared" si="30"/>
        <v>S000475Maison LYS &amp; Cousins Bourgogne 'Bussieres' Pinot Noir2019</v>
      </c>
      <c r="E474">
        <f t="shared" si="31"/>
        <v>1</v>
      </c>
      <c r="F474" t="s">
        <v>968</v>
      </c>
      <c r="G474" t="s">
        <v>969</v>
      </c>
      <c r="H474" t="s">
        <v>81</v>
      </c>
      <c r="I474" t="str">
        <f t="shared" si="29"/>
        <v>S000475Maison LYS &amp; Cousins Bourgogne 'Bussieres' Pinot Noir2019</v>
      </c>
      <c r="J474">
        <f t="shared" si="32"/>
        <v>1</v>
      </c>
    </row>
    <row r="475" spans="1:10">
      <c r="A475" t="s">
        <v>970</v>
      </c>
      <c r="B475" t="s">
        <v>971</v>
      </c>
      <c r="C475" t="s">
        <v>81</v>
      </c>
      <c r="D475" t="str">
        <f t="shared" si="30"/>
        <v>S000476Maison LYS &amp; Cousins Côte de Nuits Blanc 'La Toppe Citeau'2019</v>
      </c>
      <c r="E475">
        <f t="shared" si="31"/>
        <v>1</v>
      </c>
      <c r="F475" t="s">
        <v>970</v>
      </c>
      <c r="G475" t="s">
        <v>971</v>
      </c>
      <c r="H475" t="s">
        <v>81</v>
      </c>
      <c r="I475" t="str">
        <f t="shared" si="29"/>
        <v>S000476Maison LYS &amp; Cousins Côte de Nuits Blanc 'La Toppe Citeau'2019</v>
      </c>
      <c r="J475">
        <f t="shared" si="32"/>
        <v>1</v>
      </c>
    </row>
    <row r="476" spans="1:10">
      <c r="A476" t="s">
        <v>972</v>
      </c>
      <c r="B476" t="s">
        <v>973</v>
      </c>
      <c r="C476" t="s">
        <v>222</v>
      </c>
      <c r="D476" t="str">
        <f t="shared" si="30"/>
        <v>S000477Maison LYS &amp; Cousins Vosne-Romanée 'Aux Communes'2015</v>
      </c>
      <c r="E476">
        <f t="shared" si="31"/>
        <v>1</v>
      </c>
      <c r="F476" t="s">
        <v>972</v>
      </c>
      <c r="G476" t="s">
        <v>973</v>
      </c>
      <c r="H476" t="s">
        <v>222</v>
      </c>
      <c r="I476" t="str">
        <f t="shared" si="29"/>
        <v>S000477Maison LYS &amp; Cousins Vosne-Romanée 'Aux Communes'2015</v>
      </c>
      <c r="J476">
        <f t="shared" si="32"/>
        <v>1</v>
      </c>
    </row>
    <row r="477" spans="1:10">
      <c r="A477" t="s">
        <v>974</v>
      </c>
      <c r="B477" t="s">
        <v>975</v>
      </c>
      <c r="C477" t="s">
        <v>114</v>
      </c>
      <c r="D477" t="str">
        <f t="shared" si="30"/>
        <v>S000478Château Malartic-Lagravière Pessac-Léognan Blanc Grand Cru Classé2014</v>
      </c>
      <c r="E477">
        <f t="shared" si="31"/>
        <v>1</v>
      </c>
      <c r="F477" t="s">
        <v>974</v>
      </c>
      <c r="G477" t="s">
        <v>975</v>
      </c>
      <c r="H477" t="s">
        <v>114</v>
      </c>
      <c r="I477" t="str">
        <f t="shared" si="29"/>
        <v>S000478Château Malartic-Lagravière Pessac-Léognan Blanc Grand Cru Classé2014</v>
      </c>
      <c r="J477">
        <f t="shared" si="32"/>
        <v>1</v>
      </c>
    </row>
    <row r="478" spans="1:10">
      <c r="A478" t="s">
        <v>976</v>
      </c>
      <c r="B478" t="s">
        <v>977</v>
      </c>
      <c r="C478" t="s">
        <v>137</v>
      </c>
      <c r="D478" t="str">
        <f t="shared" si="30"/>
        <v>S000479Château Malescot Saint-Exupéry Margaux Troisième Grand Cru Classé2017</v>
      </c>
      <c r="E478">
        <f t="shared" si="31"/>
        <v>1</v>
      </c>
      <c r="F478" t="s">
        <v>976</v>
      </c>
      <c r="G478" t="s">
        <v>977</v>
      </c>
      <c r="H478" t="s">
        <v>137</v>
      </c>
      <c r="I478" t="str">
        <f t="shared" si="29"/>
        <v>S000479Château Malescot Saint-Exupéry Margaux Troisième Grand Cru Classé2017</v>
      </c>
      <c r="J478">
        <f t="shared" si="32"/>
        <v>1</v>
      </c>
    </row>
    <row r="479" spans="1:10">
      <c r="A479" t="s">
        <v>978</v>
      </c>
      <c r="B479" t="s">
        <v>979</v>
      </c>
      <c r="C479" t="s">
        <v>30</v>
      </c>
      <c r="D479" t="str">
        <f t="shared" si="30"/>
        <v>S000480Domaine Marc Roy Bourgogne Rouge2022</v>
      </c>
      <c r="E479">
        <f t="shared" si="31"/>
        <v>1</v>
      </c>
      <c r="F479" t="s">
        <v>978</v>
      </c>
      <c r="G479" t="s">
        <v>979</v>
      </c>
      <c r="H479" t="s">
        <v>30</v>
      </c>
      <c r="I479" t="str">
        <f t="shared" si="29"/>
        <v>S000480Domaine Marc Roy Bourgogne Rouge2022</v>
      </c>
      <c r="J479">
        <f t="shared" si="32"/>
        <v>1</v>
      </c>
    </row>
    <row r="480" spans="1:10">
      <c r="A480" t="s">
        <v>980</v>
      </c>
      <c r="B480" t="s">
        <v>981</v>
      </c>
      <c r="C480" t="s">
        <v>92</v>
      </c>
      <c r="D480" t="str">
        <f t="shared" si="30"/>
        <v>S000481Domaine Marc Roy Gevrey-Chambertin 'Clos Prieur'2020</v>
      </c>
      <c r="E480">
        <f t="shared" si="31"/>
        <v>1</v>
      </c>
      <c r="F480" t="s">
        <v>980</v>
      </c>
      <c r="G480" t="s">
        <v>981</v>
      </c>
      <c r="H480" t="s">
        <v>92</v>
      </c>
      <c r="I480" t="str">
        <f t="shared" si="29"/>
        <v>S000481Domaine Marc Roy Gevrey-Chambertin 'Clos Prieur'2020</v>
      </c>
      <c r="J480">
        <f t="shared" si="32"/>
        <v>1</v>
      </c>
    </row>
    <row r="481" spans="1:10">
      <c r="A481" t="s">
        <v>982</v>
      </c>
      <c r="B481" t="s">
        <v>981</v>
      </c>
      <c r="C481" t="s">
        <v>30</v>
      </c>
      <c r="D481" t="str">
        <f t="shared" si="30"/>
        <v>S000482Domaine Marc Roy Gevrey-Chambertin 'Clos Prieur'2022</v>
      </c>
      <c r="E481">
        <f t="shared" si="31"/>
        <v>1</v>
      </c>
      <c r="F481" t="s">
        <v>982</v>
      </c>
      <c r="G481" t="s">
        <v>981</v>
      </c>
      <c r="H481" t="s">
        <v>30</v>
      </c>
      <c r="I481" t="str">
        <f t="shared" si="29"/>
        <v>S000482Domaine Marc Roy Gevrey-Chambertin 'Clos Prieur'2022</v>
      </c>
      <c r="J481">
        <f t="shared" si="32"/>
        <v>1</v>
      </c>
    </row>
    <row r="482" spans="1:10">
      <c r="A482" t="s">
        <v>983</v>
      </c>
      <c r="B482" t="s">
        <v>984</v>
      </c>
      <c r="C482" t="s">
        <v>30</v>
      </c>
      <c r="D482" t="str">
        <f t="shared" si="30"/>
        <v>S000483Domaine Marc Roy Gevrey-Chambertin 'Cuvée Alexandrine'2022</v>
      </c>
      <c r="E482">
        <f t="shared" si="31"/>
        <v>1</v>
      </c>
      <c r="F482" t="s">
        <v>983</v>
      </c>
      <c r="G482" t="s">
        <v>984</v>
      </c>
      <c r="H482" t="s">
        <v>30</v>
      </c>
      <c r="I482" t="str">
        <f t="shared" si="29"/>
        <v>S000483Domaine Marc Roy Gevrey-Chambertin 'Cuvée Alexandrine'2022</v>
      </c>
      <c r="J482">
        <f t="shared" si="32"/>
        <v>1</v>
      </c>
    </row>
    <row r="483" spans="1:10">
      <c r="A483" t="s">
        <v>985</v>
      </c>
      <c r="B483" t="s">
        <v>986</v>
      </c>
      <c r="C483" t="s">
        <v>30</v>
      </c>
      <c r="D483" t="str">
        <f t="shared" si="30"/>
        <v>S000484Domaine Marc Roy Gevrey-Chambertin Vieilles Vignes2022</v>
      </c>
      <c r="E483">
        <f t="shared" si="31"/>
        <v>1</v>
      </c>
      <c r="F483" t="s">
        <v>985</v>
      </c>
      <c r="G483" t="s">
        <v>986</v>
      </c>
      <c r="H483" t="s">
        <v>30</v>
      </c>
      <c r="I483" t="str">
        <f t="shared" si="29"/>
        <v>S000484Domaine Marc Roy Gevrey-Chambertin Vieilles Vignes2022</v>
      </c>
      <c r="J483">
        <f t="shared" si="32"/>
        <v>1</v>
      </c>
    </row>
    <row r="484" spans="1:10">
      <c r="A484" t="s">
        <v>987</v>
      </c>
      <c r="B484" t="s">
        <v>988</v>
      </c>
      <c r="C484" t="s">
        <v>30</v>
      </c>
      <c r="D484" t="str">
        <f t="shared" si="30"/>
        <v>S000485Domaine Marc Roy Marsannay 'Les Champs Perdrix'2022</v>
      </c>
      <c r="E484">
        <f t="shared" si="31"/>
        <v>1</v>
      </c>
      <c r="F484" t="s">
        <v>987</v>
      </c>
      <c r="G484" t="s">
        <v>988</v>
      </c>
      <c r="H484" t="s">
        <v>30</v>
      </c>
      <c r="I484" t="str">
        <f t="shared" si="29"/>
        <v>S000485Domaine Marc Roy Marsannay 'Les Champs Perdrix'2022</v>
      </c>
      <c r="J484">
        <f t="shared" si="32"/>
        <v>1</v>
      </c>
    </row>
    <row r="485" spans="1:10">
      <c r="A485" t="s">
        <v>989</v>
      </c>
      <c r="B485" t="s">
        <v>990</v>
      </c>
      <c r="C485" t="s">
        <v>81</v>
      </c>
      <c r="D485" t="str">
        <f t="shared" si="30"/>
        <v>S000486Domaine Marchand Tawse Gevrey-Chambertin 'Champeaux' Premier Cru2019</v>
      </c>
      <c r="E485">
        <f t="shared" si="31"/>
        <v>1</v>
      </c>
      <c r="F485" t="s">
        <v>989</v>
      </c>
      <c r="G485" t="s">
        <v>990</v>
      </c>
      <c r="H485" t="s">
        <v>81</v>
      </c>
      <c r="I485" t="str">
        <f t="shared" si="29"/>
        <v>S000486Domaine Marchand Tawse Gevrey-Chambertin 'Champeaux' Premier Cru2019</v>
      </c>
      <c r="J485">
        <f t="shared" si="32"/>
        <v>1</v>
      </c>
    </row>
    <row r="486" spans="1:10">
      <c r="A486" t="s">
        <v>991</v>
      </c>
      <c r="B486" t="s">
        <v>992</v>
      </c>
      <c r="C486" t="s">
        <v>30</v>
      </c>
      <c r="D486" t="str">
        <f t="shared" si="30"/>
        <v>S000487Domaine Tawse Gevrey-Chambertin 'Aux Etelois'2022</v>
      </c>
      <c r="E486">
        <f t="shared" si="31"/>
        <v>1</v>
      </c>
      <c r="F486" t="s">
        <v>991</v>
      </c>
      <c r="G486" t="s">
        <v>992</v>
      </c>
      <c r="H486" t="s">
        <v>30</v>
      </c>
      <c r="I486" t="str">
        <f t="shared" si="29"/>
        <v>S000487Domaine Tawse Gevrey-Chambertin 'Aux Etelois'2022</v>
      </c>
      <c r="J486">
        <f t="shared" si="32"/>
        <v>1</v>
      </c>
    </row>
    <row r="487" spans="1:10">
      <c r="A487" t="s">
        <v>993</v>
      </c>
      <c r="B487" t="s">
        <v>994</v>
      </c>
      <c r="C487" t="s">
        <v>137</v>
      </c>
      <c r="D487" t="str">
        <f t="shared" si="30"/>
        <v>S000488Domaine Marchand Tawse Vosne-Romanée 'Aux Champs Perdrix'2017</v>
      </c>
      <c r="E487">
        <f t="shared" si="31"/>
        <v>1</v>
      </c>
      <c r="F487" t="s">
        <v>993</v>
      </c>
      <c r="G487" t="s">
        <v>994</v>
      </c>
      <c r="H487" t="s">
        <v>137</v>
      </c>
      <c r="I487" t="str">
        <f t="shared" si="29"/>
        <v>S000488Domaine Marchand Tawse Vosne-Romanée 'Aux Champs Perdrix'2017</v>
      </c>
      <c r="J487">
        <f t="shared" si="32"/>
        <v>1</v>
      </c>
    </row>
    <row r="488" spans="1:10">
      <c r="A488" t="s">
        <v>995</v>
      </c>
      <c r="B488" t="s">
        <v>996</v>
      </c>
      <c r="C488" t="s">
        <v>127</v>
      </c>
      <c r="D488" t="str">
        <f t="shared" si="30"/>
        <v>S000489Chateau Marojallia Margaux2009</v>
      </c>
      <c r="E488">
        <f t="shared" si="31"/>
        <v>1</v>
      </c>
      <c r="F488" t="s">
        <v>995</v>
      </c>
      <c r="G488" t="s">
        <v>996</v>
      </c>
      <c r="H488" t="s">
        <v>127</v>
      </c>
      <c r="I488" t="str">
        <f t="shared" si="29"/>
        <v>S000489Chateau Marojallia Margaux2009</v>
      </c>
      <c r="J488">
        <f t="shared" si="32"/>
        <v>1</v>
      </c>
    </row>
    <row r="489" spans="1:10">
      <c r="A489" t="s">
        <v>997</v>
      </c>
      <c r="B489" t="s">
        <v>998</v>
      </c>
      <c r="C489" t="s">
        <v>178</v>
      </c>
      <c r="D489" t="str">
        <f t="shared" si="30"/>
        <v>S000490Domaine Marquis d'Angerville Volnay 'Clos des Ducs' Premier Cru2003</v>
      </c>
      <c r="E489">
        <f t="shared" si="31"/>
        <v>1</v>
      </c>
      <c r="F489" t="s">
        <v>997</v>
      </c>
      <c r="G489" t="s">
        <v>998</v>
      </c>
      <c r="H489" t="s">
        <v>178</v>
      </c>
      <c r="I489" t="str">
        <f t="shared" si="29"/>
        <v>S000490Domaine Marquis d'Angerville Volnay 'Clos des Ducs' Premier Cru2003</v>
      </c>
      <c r="J489">
        <f t="shared" si="32"/>
        <v>1</v>
      </c>
    </row>
    <row r="490" spans="1:10">
      <c r="A490" t="s">
        <v>999</v>
      </c>
      <c r="B490" t="s">
        <v>998</v>
      </c>
      <c r="C490" t="s">
        <v>133</v>
      </c>
      <c r="D490" t="str">
        <f t="shared" si="30"/>
        <v>S000491Domaine Marquis d'Angerville Volnay 'Clos des Ducs' Premier Cru2007</v>
      </c>
      <c r="E490">
        <f t="shared" si="31"/>
        <v>1</v>
      </c>
      <c r="F490" t="s">
        <v>999</v>
      </c>
      <c r="G490" t="s">
        <v>998</v>
      </c>
      <c r="H490" t="s">
        <v>133</v>
      </c>
      <c r="I490" t="str">
        <f t="shared" si="29"/>
        <v>S000491Domaine Marquis d'Angerville Volnay 'Clos des Ducs' Premier Cru2007</v>
      </c>
      <c r="J490">
        <f t="shared" si="32"/>
        <v>1</v>
      </c>
    </row>
    <row r="491" spans="1:10">
      <c r="A491" t="s">
        <v>1000</v>
      </c>
      <c r="B491" t="s">
        <v>1001</v>
      </c>
      <c r="C491" t="s">
        <v>81</v>
      </c>
      <c r="D491" t="str">
        <f t="shared" si="30"/>
        <v>S000492Domaine Méo-Camuzet Vosne-Romanée 'Aux Brûlées' Premier Cru2019</v>
      </c>
      <c r="E491">
        <f t="shared" si="31"/>
        <v>1</v>
      </c>
      <c r="F491" t="s">
        <v>1000</v>
      </c>
      <c r="G491" t="s">
        <v>1001</v>
      </c>
      <c r="H491" t="s">
        <v>81</v>
      </c>
      <c r="I491" t="str">
        <f t="shared" si="29"/>
        <v>S000492Domaine Méo-Camuzet Vosne-Romanée 'Aux Brûlées' Premier Cru2019</v>
      </c>
      <c r="J491">
        <f t="shared" si="32"/>
        <v>1</v>
      </c>
    </row>
    <row r="492" spans="1:10">
      <c r="A492" t="s">
        <v>1002</v>
      </c>
      <c r="B492" t="s">
        <v>1003</v>
      </c>
      <c r="C492" t="s">
        <v>127</v>
      </c>
      <c r="D492" t="str">
        <f t="shared" si="30"/>
        <v>S000493Domaine Michel Gros Vosne-Romanée 'Clos des Réas' Premier Cru2009</v>
      </c>
      <c r="E492">
        <f t="shared" si="31"/>
        <v>1</v>
      </c>
      <c r="F492" t="s">
        <v>1002</v>
      </c>
      <c r="G492" t="s">
        <v>1003</v>
      </c>
      <c r="H492" t="s">
        <v>127</v>
      </c>
      <c r="I492" t="str">
        <f t="shared" si="29"/>
        <v>S000493Domaine Michel Gros Vosne-Romanée 'Clos des Réas' Premier Cru2009</v>
      </c>
      <c r="J492">
        <f t="shared" si="32"/>
        <v>1</v>
      </c>
    </row>
    <row r="493" spans="1:10">
      <c r="A493" t="s">
        <v>1004</v>
      </c>
      <c r="B493" t="s">
        <v>1003</v>
      </c>
      <c r="C493" t="s">
        <v>139</v>
      </c>
      <c r="D493" t="str">
        <f t="shared" si="30"/>
        <v>S000494Domaine Michel Gros Vosne-Romanée 'Clos des Réas' Premier Cru2010</v>
      </c>
      <c r="E493">
        <f t="shared" si="31"/>
        <v>1</v>
      </c>
      <c r="F493" t="s">
        <v>1004</v>
      </c>
      <c r="G493" t="s">
        <v>1003</v>
      </c>
      <c r="H493" t="s">
        <v>139</v>
      </c>
      <c r="I493" t="str">
        <f t="shared" si="29"/>
        <v>S000494Domaine Michel Gros Vosne-Romanée 'Clos des Réas' Premier Cru2010</v>
      </c>
      <c r="J493">
        <f t="shared" si="32"/>
        <v>1</v>
      </c>
    </row>
    <row r="494" spans="1:10">
      <c r="A494" t="s">
        <v>1005</v>
      </c>
      <c r="B494" t="s">
        <v>1006</v>
      </c>
      <c r="C494" t="s">
        <v>114</v>
      </c>
      <c r="D494" t="str">
        <f t="shared" si="30"/>
        <v>S000495Domaine Michel Noëllat Clos de Vougeot Grand Cru2014</v>
      </c>
      <c r="E494">
        <f t="shared" si="31"/>
        <v>1</v>
      </c>
      <c r="F494" t="s">
        <v>1005</v>
      </c>
      <c r="G494" t="s">
        <v>1006</v>
      </c>
      <c r="H494" t="s">
        <v>114</v>
      </c>
      <c r="I494" t="str">
        <f t="shared" si="29"/>
        <v>S000495Domaine Michel Noëllat Clos de Vougeot Grand Cru2014</v>
      </c>
      <c r="J494">
        <f t="shared" si="32"/>
        <v>1</v>
      </c>
    </row>
    <row r="495" spans="1:10">
      <c r="A495" t="s">
        <v>1007</v>
      </c>
      <c r="B495" t="s">
        <v>1006</v>
      </c>
      <c r="C495" t="s">
        <v>222</v>
      </c>
      <c r="D495" t="str">
        <f t="shared" si="30"/>
        <v>S000496Domaine Michel Noëllat Clos de Vougeot Grand Cru2015</v>
      </c>
      <c r="E495">
        <f t="shared" si="31"/>
        <v>1</v>
      </c>
      <c r="F495" t="s">
        <v>1007</v>
      </c>
      <c r="G495" t="s">
        <v>1006</v>
      </c>
      <c r="H495" t="s">
        <v>222</v>
      </c>
      <c r="I495" t="str">
        <f t="shared" si="29"/>
        <v>S000496Domaine Michel Noëllat Clos de Vougeot Grand Cru2015</v>
      </c>
      <c r="J495">
        <f t="shared" si="32"/>
        <v>1</v>
      </c>
    </row>
    <row r="496" spans="1:10">
      <c r="A496" t="s">
        <v>1008</v>
      </c>
      <c r="B496" t="s">
        <v>1009</v>
      </c>
      <c r="C496" t="s">
        <v>114</v>
      </c>
      <c r="D496" t="str">
        <f t="shared" si="30"/>
        <v>S000497Domaine Michel Noëllat Échezeaux 'du Dessus' Grand Cru2014</v>
      </c>
      <c r="E496">
        <f t="shared" si="31"/>
        <v>1</v>
      </c>
      <c r="F496" t="s">
        <v>1008</v>
      </c>
      <c r="G496" t="s">
        <v>1009</v>
      </c>
      <c r="H496" t="s">
        <v>114</v>
      </c>
      <c r="I496" t="str">
        <f t="shared" si="29"/>
        <v>S000497Domaine Michel Noëllat Échezeaux 'du Dessus' Grand Cru2014</v>
      </c>
      <c r="J496">
        <f t="shared" si="32"/>
        <v>1</v>
      </c>
    </row>
    <row r="497" spans="1:10">
      <c r="A497" t="s">
        <v>1010</v>
      </c>
      <c r="B497" t="s">
        <v>1011</v>
      </c>
      <c r="C497" t="s">
        <v>172</v>
      </c>
      <c r="D497" t="str">
        <f t="shared" si="30"/>
        <v>S000498Domaine Patrice Rion Nuits-Saint-Georges 'Clos des Argillières' Premier Cru2012</v>
      </c>
      <c r="E497">
        <f t="shared" si="31"/>
        <v>1</v>
      </c>
      <c r="F497" t="s">
        <v>1010</v>
      </c>
      <c r="G497" t="s">
        <v>1011</v>
      </c>
      <c r="H497" t="s">
        <v>172</v>
      </c>
      <c r="I497" t="str">
        <f t="shared" si="29"/>
        <v>S000498Domaine Patrice Rion Nuits-Saint-Georges 'Clos des Argillières' Premier Cru2012</v>
      </c>
      <c r="J497">
        <f t="shared" si="32"/>
        <v>1</v>
      </c>
    </row>
    <row r="498" spans="1:10">
      <c r="A498" t="s">
        <v>1012</v>
      </c>
      <c r="B498" t="s">
        <v>1013</v>
      </c>
      <c r="C498" t="s">
        <v>172</v>
      </c>
      <c r="D498" t="str">
        <f t="shared" si="30"/>
        <v>S000499Domaine Patrice Rion Nuits-Saint-Georges 'Clos Saint-Marc' Premier Cru2012</v>
      </c>
      <c r="E498">
        <f t="shared" si="31"/>
        <v>1</v>
      </c>
      <c r="F498" t="s">
        <v>1012</v>
      </c>
      <c r="G498" t="s">
        <v>1013</v>
      </c>
      <c r="H498" t="s">
        <v>172</v>
      </c>
      <c r="I498" t="str">
        <f t="shared" si="29"/>
        <v>S000499Domaine Patrice Rion Nuits-Saint-Georges 'Clos Saint-Marc' Premier Cru2012</v>
      </c>
      <c r="J498">
        <f t="shared" si="32"/>
        <v>1</v>
      </c>
    </row>
    <row r="499" spans="1:10">
      <c r="A499" t="s">
        <v>1014</v>
      </c>
      <c r="B499" t="s">
        <v>1015</v>
      </c>
      <c r="C499" t="s">
        <v>710</v>
      </c>
      <c r="D499" t="str">
        <f t="shared" si="30"/>
        <v>S000500Château Monbousquet Saint-Émilion Grand Cru1999</v>
      </c>
      <c r="E499">
        <f t="shared" si="31"/>
        <v>1</v>
      </c>
      <c r="F499" t="s">
        <v>1014</v>
      </c>
      <c r="G499" t="s">
        <v>1015</v>
      </c>
      <c r="H499" t="s">
        <v>710</v>
      </c>
      <c r="I499" t="str">
        <f t="shared" si="29"/>
        <v>S000500Château Monbousquet Saint-Émilion Grand Cru1999</v>
      </c>
      <c r="J499">
        <f t="shared" si="32"/>
        <v>1</v>
      </c>
    </row>
    <row r="500" spans="1:10">
      <c r="A500" t="s">
        <v>1016</v>
      </c>
      <c r="B500" t="s">
        <v>1015</v>
      </c>
      <c r="C500" t="s">
        <v>81</v>
      </c>
      <c r="D500" t="str">
        <f t="shared" si="30"/>
        <v>S000501Château Monbousquet Saint-Émilion Grand Cru2019</v>
      </c>
      <c r="E500">
        <f t="shared" si="31"/>
        <v>1</v>
      </c>
      <c r="F500" t="s">
        <v>1016</v>
      </c>
      <c r="G500" t="s">
        <v>1015</v>
      </c>
      <c r="H500" t="s">
        <v>81</v>
      </c>
      <c r="I500" t="str">
        <f t="shared" si="29"/>
        <v>S000501Château Monbousquet Saint-Émilion Grand Cru2019</v>
      </c>
      <c r="J500">
        <f t="shared" si="32"/>
        <v>1</v>
      </c>
    </row>
    <row r="501" spans="1:10">
      <c r="A501" t="s">
        <v>1017</v>
      </c>
      <c r="B501" t="s">
        <v>1018</v>
      </c>
      <c r="C501" t="s">
        <v>137</v>
      </c>
      <c r="D501" t="str">
        <f t="shared" si="30"/>
        <v>S000502Domaine de Montille Vosne-Romanée 'Les Malconsorts' Cuvée Christiane Premier Cru2017</v>
      </c>
      <c r="E501">
        <f t="shared" si="31"/>
        <v>1</v>
      </c>
      <c r="F501" t="s">
        <v>1017</v>
      </c>
      <c r="G501" t="s">
        <v>1018</v>
      </c>
      <c r="H501" t="s">
        <v>137</v>
      </c>
      <c r="I501" t="str">
        <f t="shared" si="29"/>
        <v>S000502Domaine de Montille Vosne-Romanée 'Les Malconsorts' Cuvée Christiane Premier Cru2017</v>
      </c>
      <c r="J501">
        <f t="shared" si="32"/>
        <v>1</v>
      </c>
    </row>
    <row r="502" spans="1:10">
      <c r="A502" t="s">
        <v>1019</v>
      </c>
      <c r="B502" t="s">
        <v>1020</v>
      </c>
      <c r="C502" t="s">
        <v>111</v>
      </c>
      <c r="D502" t="str">
        <f t="shared" si="30"/>
        <v>S000503Château Montrose Saint-Estèphe Grand Cru Classé2013</v>
      </c>
      <c r="E502">
        <f t="shared" si="31"/>
        <v>1</v>
      </c>
      <c r="F502" t="s">
        <v>1019</v>
      </c>
      <c r="G502" t="s">
        <v>1020</v>
      </c>
      <c r="H502" t="s">
        <v>111</v>
      </c>
      <c r="I502" t="str">
        <f t="shared" si="29"/>
        <v>S000503Château Montrose Saint-Estèphe Grand Cru Classé2013</v>
      </c>
      <c r="J502">
        <f t="shared" si="32"/>
        <v>1</v>
      </c>
    </row>
    <row r="503" spans="1:10">
      <c r="A503" t="s">
        <v>1021</v>
      </c>
      <c r="B503" t="s">
        <v>1022</v>
      </c>
      <c r="C503" t="s">
        <v>81</v>
      </c>
      <c r="D503" t="str">
        <f t="shared" si="30"/>
        <v>S000504Domaine Georges Mugneret-Gibourg Bourgogne Rouge2019</v>
      </c>
      <c r="E503">
        <f t="shared" si="31"/>
        <v>1</v>
      </c>
      <c r="F503" t="s">
        <v>1021</v>
      </c>
      <c r="G503" t="s">
        <v>1022</v>
      </c>
      <c r="H503" t="s">
        <v>81</v>
      </c>
      <c r="I503" t="str">
        <f t="shared" si="29"/>
        <v>S000504Domaine Georges Mugneret-Gibourg Bourgogne Rouge2019</v>
      </c>
      <c r="J503">
        <f t="shared" si="32"/>
        <v>1</v>
      </c>
    </row>
    <row r="504" spans="1:10">
      <c r="A504" t="s">
        <v>1023</v>
      </c>
      <c r="B504" t="s">
        <v>1024</v>
      </c>
      <c r="C504" t="s">
        <v>139</v>
      </c>
      <c r="D504" t="str">
        <f t="shared" si="30"/>
        <v>S000505Domaine Georges Mugneret-Gibourg Vosne-Romanée2010</v>
      </c>
      <c r="E504">
        <f t="shared" si="31"/>
        <v>1</v>
      </c>
      <c r="F504" t="s">
        <v>1023</v>
      </c>
      <c r="G504" t="s">
        <v>1024</v>
      </c>
      <c r="H504" t="s">
        <v>139</v>
      </c>
      <c r="I504" t="str">
        <f t="shared" si="29"/>
        <v>S000505Domaine Georges Mugneret-Gibourg Vosne-Romanée2010</v>
      </c>
      <c r="J504">
        <f t="shared" si="32"/>
        <v>1</v>
      </c>
    </row>
    <row r="505" spans="1:10">
      <c r="A505" t="s">
        <v>1025</v>
      </c>
      <c r="B505" t="s">
        <v>1024</v>
      </c>
      <c r="C505" t="s">
        <v>137</v>
      </c>
      <c r="D505" t="str">
        <f t="shared" si="30"/>
        <v>S000506Domaine Georges Mugneret-Gibourg Vosne-Romanée2017</v>
      </c>
      <c r="E505">
        <f t="shared" si="31"/>
        <v>1</v>
      </c>
      <c r="F505" t="s">
        <v>1025</v>
      </c>
      <c r="G505" t="s">
        <v>1024</v>
      </c>
      <c r="H505" t="s">
        <v>137</v>
      </c>
      <c r="I505" t="str">
        <f t="shared" si="29"/>
        <v>S000506Domaine Georges Mugneret-Gibourg Vosne-Romanée2017</v>
      </c>
      <c r="J505">
        <f t="shared" si="32"/>
        <v>1</v>
      </c>
    </row>
    <row r="506" spans="1:10">
      <c r="A506" t="s">
        <v>1026</v>
      </c>
      <c r="B506" t="s">
        <v>1027</v>
      </c>
      <c r="C506" t="s">
        <v>1028</v>
      </c>
      <c r="D506" t="str">
        <f t="shared" si="30"/>
        <v>S000507Müller-Catoir Mussbacher Eselshaut Rieslaner Trockenbeerenauslese1992</v>
      </c>
      <c r="E506">
        <f t="shared" si="31"/>
        <v>1</v>
      </c>
      <c r="F506" t="s">
        <v>1026</v>
      </c>
      <c r="G506" t="s">
        <v>1027</v>
      </c>
      <c r="H506" t="s">
        <v>1028</v>
      </c>
      <c r="I506" t="str">
        <f t="shared" si="29"/>
        <v>S000507Müller-Catoir Mussbacher Eselshaut Rieslaner Trockenbeerenauslese1992</v>
      </c>
      <c r="J506">
        <f t="shared" si="32"/>
        <v>1</v>
      </c>
    </row>
    <row r="507" spans="1:10">
      <c r="A507" t="s">
        <v>1029</v>
      </c>
      <c r="B507" t="s">
        <v>1027</v>
      </c>
      <c r="C507" t="s">
        <v>695</v>
      </c>
      <c r="D507" t="str">
        <f t="shared" si="30"/>
        <v>S000508Müller-Catoir Mussbacher Eselshaut Rieslaner Trockenbeerenauslese1990</v>
      </c>
      <c r="E507">
        <f t="shared" si="31"/>
        <v>1</v>
      </c>
      <c r="F507" t="s">
        <v>1029</v>
      </c>
      <c r="G507" t="s">
        <v>1027</v>
      </c>
      <c r="H507" t="s">
        <v>695</v>
      </c>
      <c r="I507" t="str">
        <f t="shared" si="29"/>
        <v>S000508Müller-Catoir Mussbacher Eselshaut Rieslaner Trockenbeerenauslese1990</v>
      </c>
      <c r="J507">
        <f t="shared" si="32"/>
        <v>1</v>
      </c>
    </row>
    <row r="508" spans="1:10">
      <c r="A508" t="s">
        <v>1030</v>
      </c>
      <c r="B508" t="s">
        <v>1031</v>
      </c>
      <c r="C508" t="s">
        <v>118</v>
      </c>
      <c r="D508" t="str">
        <f t="shared" si="30"/>
        <v>S000509Domaine Nicolas Faure Nuits-Saint-Georges 'Les Herbues'2018</v>
      </c>
      <c r="E508">
        <f t="shared" si="31"/>
        <v>1</v>
      </c>
      <c r="F508" t="s">
        <v>1030</v>
      </c>
      <c r="G508" t="s">
        <v>1031</v>
      </c>
      <c r="H508" t="s">
        <v>118</v>
      </c>
      <c r="I508" t="str">
        <f t="shared" si="29"/>
        <v>S000509Domaine Nicolas Faure Nuits-Saint-Georges 'Les Herbues'2018</v>
      </c>
      <c r="J508">
        <f t="shared" si="32"/>
        <v>1</v>
      </c>
    </row>
    <row r="509" spans="1:10">
      <c r="A509" t="s">
        <v>1032</v>
      </c>
      <c r="B509" t="s">
        <v>1033</v>
      </c>
      <c r="C509" t="s">
        <v>30</v>
      </c>
      <c r="D509" t="str">
        <f t="shared" si="30"/>
        <v>S000510Nicolas Perrault Maranges 'La Fussière' Blanc Premier Cru2022</v>
      </c>
      <c r="E509">
        <f t="shared" si="31"/>
        <v>1</v>
      </c>
      <c r="F509" t="s">
        <v>1032</v>
      </c>
      <c r="G509" t="s">
        <v>1033</v>
      </c>
      <c r="H509" t="s">
        <v>30</v>
      </c>
      <c r="I509" t="str">
        <f t="shared" si="29"/>
        <v>S000510Nicolas Perrault Maranges 'La Fussière' Blanc Premier Cru2022</v>
      </c>
      <c r="J509">
        <f t="shared" si="32"/>
        <v>1</v>
      </c>
    </row>
    <row r="510" spans="1:10">
      <c r="A510" t="s">
        <v>1034</v>
      </c>
      <c r="B510" t="s">
        <v>1035</v>
      </c>
      <c r="C510" t="s">
        <v>30</v>
      </c>
      <c r="D510" t="str">
        <f t="shared" si="30"/>
        <v>S000511Nicolas Perrault Maranges 'Le Clos des Rois' Premier Cru2022</v>
      </c>
      <c r="E510">
        <f t="shared" si="31"/>
        <v>1</v>
      </c>
      <c r="F510" t="s">
        <v>1034</v>
      </c>
      <c r="G510" t="s">
        <v>1035</v>
      </c>
      <c r="H510" t="s">
        <v>30</v>
      </c>
      <c r="I510" t="str">
        <f t="shared" si="29"/>
        <v>S000511Nicolas Perrault Maranges 'Le Clos des Rois' Premier Cru2022</v>
      </c>
      <c r="J510">
        <f t="shared" si="32"/>
        <v>1</v>
      </c>
    </row>
    <row r="511" spans="1:10">
      <c r="A511" t="s">
        <v>1036</v>
      </c>
      <c r="B511" t="s">
        <v>1037</v>
      </c>
      <c r="C511" t="s">
        <v>30</v>
      </c>
      <c r="D511" t="str">
        <f t="shared" si="30"/>
        <v>S000512Nicolas Perrault Maranges 'Les Clos Roussots' Premier Cru2022</v>
      </c>
      <c r="E511">
        <f t="shared" si="31"/>
        <v>1</v>
      </c>
      <c r="F511" t="s">
        <v>1036</v>
      </c>
      <c r="G511" t="s">
        <v>1037</v>
      </c>
      <c r="H511" t="s">
        <v>30</v>
      </c>
      <c r="I511" t="str">
        <f t="shared" si="29"/>
        <v>S000512Nicolas Perrault Maranges 'Les Clos Roussots' Premier Cru2022</v>
      </c>
      <c r="J511">
        <f t="shared" si="32"/>
        <v>1</v>
      </c>
    </row>
    <row r="512" spans="1:10">
      <c r="A512" t="s">
        <v>1038</v>
      </c>
      <c r="B512" t="s">
        <v>1039</v>
      </c>
      <c r="C512" t="s">
        <v>30</v>
      </c>
      <c r="D512" t="str">
        <f t="shared" si="30"/>
        <v>S000513Nicolas Perrault Santenay2022</v>
      </c>
      <c r="E512">
        <f t="shared" si="31"/>
        <v>1</v>
      </c>
      <c r="F512" t="s">
        <v>1038</v>
      </c>
      <c r="G512" t="s">
        <v>1039</v>
      </c>
      <c r="H512" t="s">
        <v>30</v>
      </c>
      <c r="I512" t="str">
        <f t="shared" si="29"/>
        <v>S000513Nicolas Perrault Santenay2022</v>
      </c>
      <c r="J512">
        <f t="shared" si="32"/>
        <v>1</v>
      </c>
    </row>
    <row r="513" spans="1:10">
      <c r="A513" t="s">
        <v>1040</v>
      </c>
      <c r="B513" t="s">
        <v>1041</v>
      </c>
      <c r="C513" t="s">
        <v>30</v>
      </c>
      <c r="D513" t="str">
        <f t="shared" si="30"/>
        <v>S000514Domaine Odoul-Coquard Bourgogne Cote d'Or Pinot Noir2022</v>
      </c>
      <c r="E513">
        <f t="shared" si="31"/>
        <v>1</v>
      </c>
      <c r="F513" t="s">
        <v>1040</v>
      </c>
      <c r="G513" t="s">
        <v>1041</v>
      </c>
      <c r="H513" t="s">
        <v>30</v>
      </c>
      <c r="I513" t="str">
        <f t="shared" ref="I513:I576" si="33">F513&amp;G513&amp;H513</f>
        <v>S000514Domaine Odoul-Coquard Bourgogne Cote d'Or Pinot Noir2022</v>
      </c>
      <c r="J513">
        <f t="shared" si="32"/>
        <v>1</v>
      </c>
    </row>
    <row r="514" spans="1:10">
      <c r="A514" t="s">
        <v>1042</v>
      </c>
      <c r="B514" t="s">
        <v>1043</v>
      </c>
      <c r="C514" t="s">
        <v>30</v>
      </c>
      <c r="D514" t="str">
        <f t="shared" si="30"/>
        <v>S000515Domaine Odoul-Coquard Chambolle-Musigny 'Les Fremieres'2022</v>
      </c>
      <c r="E514">
        <f t="shared" si="31"/>
        <v>1</v>
      </c>
      <c r="F514" t="s">
        <v>1042</v>
      </c>
      <c r="G514" t="s">
        <v>1043</v>
      </c>
      <c r="H514" t="s">
        <v>30</v>
      </c>
      <c r="I514" t="str">
        <f t="shared" si="33"/>
        <v>S000515Domaine Odoul-Coquard Chambolle-Musigny 'Les Fremieres'2022</v>
      </c>
      <c r="J514">
        <f t="shared" si="32"/>
        <v>1</v>
      </c>
    </row>
    <row r="515" spans="1:10">
      <c r="A515" t="s">
        <v>1044</v>
      </c>
      <c r="B515" t="s">
        <v>1045</v>
      </c>
      <c r="C515" t="s">
        <v>30</v>
      </c>
      <c r="D515" t="str">
        <f t="shared" ref="D515:D578" si="34">A515&amp;B515&amp;C515</f>
        <v>S000516Domaine Odoul-Coquard Charmes-Chambertin Grand Cru2022</v>
      </c>
      <c r="E515">
        <f t="shared" ref="E515:E578" si="35">IF(A515=F515,1,0)</f>
        <v>1</v>
      </c>
      <c r="F515" t="s">
        <v>1044</v>
      </c>
      <c r="G515" t="s">
        <v>1045</v>
      </c>
      <c r="H515" t="s">
        <v>30</v>
      </c>
      <c r="I515" t="str">
        <f t="shared" si="33"/>
        <v>S000516Domaine Odoul-Coquard Charmes-Chambertin Grand Cru2022</v>
      </c>
      <c r="J515">
        <f t="shared" ref="J515:J578" si="36">IF(D515=I515,1,0)</f>
        <v>1</v>
      </c>
    </row>
    <row r="516" spans="1:10">
      <c r="A516" t="s">
        <v>1046</v>
      </c>
      <c r="B516" t="s">
        <v>1047</v>
      </c>
      <c r="C516" t="s">
        <v>81</v>
      </c>
      <c r="D516" t="str">
        <f t="shared" si="34"/>
        <v>S000517Domaine Odoul-Coquard Gevrey-Chambertin 'Aux Combottes' Premier Cru2019</v>
      </c>
      <c r="E516">
        <f t="shared" si="35"/>
        <v>1</v>
      </c>
      <c r="F516" t="s">
        <v>1046</v>
      </c>
      <c r="G516" t="s">
        <v>1047</v>
      </c>
      <c r="H516" t="s">
        <v>81</v>
      </c>
      <c r="I516" t="str">
        <f t="shared" si="33"/>
        <v>S000517Domaine Odoul-Coquard Gevrey-Chambertin 'Aux Combottes' Premier Cru2019</v>
      </c>
      <c r="J516">
        <f t="shared" si="36"/>
        <v>1</v>
      </c>
    </row>
    <row r="517" spans="1:10">
      <c r="A517" t="s">
        <v>1048</v>
      </c>
      <c r="B517" t="s">
        <v>1049</v>
      </c>
      <c r="C517" t="s">
        <v>81</v>
      </c>
      <c r="D517" t="str">
        <f t="shared" si="34"/>
        <v>S000518Domaine Odoul-Coquard Morey-Saint-Denis 'Les Millandes' Premier Cru2019</v>
      </c>
      <c r="E517">
        <f t="shared" si="35"/>
        <v>1</v>
      </c>
      <c r="F517" t="s">
        <v>1048</v>
      </c>
      <c r="G517" t="s">
        <v>1049</v>
      </c>
      <c r="H517" t="s">
        <v>81</v>
      </c>
      <c r="I517" t="str">
        <f t="shared" si="33"/>
        <v>S000518Domaine Odoul-Coquard Morey-Saint-Denis 'Les Millandes' Premier Cru2019</v>
      </c>
      <c r="J517">
        <f t="shared" si="36"/>
        <v>1</v>
      </c>
    </row>
    <row r="518" spans="1:10">
      <c r="A518" t="s">
        <v>1050</v>
      </c>
      <c r="B518" t="s">
        <v>1051</v>
      </c>
      <c r="C518" t="s">
        <v>30</v>
      </c>
      <c r="D518" t="str">
        <f t="shared" si="34"/>
        <v>S000519Domaine Odoul-Coquard Vosne-Romanée2022</v>
      </c>
      <c r="E518">
        <f t="shared" si="35"/>
        <v>1</v>
      </c>
      <c r="F518" t="s">
        <v>1050</v>
      </c>
      <c r="G518" t="s">
        <v>1051</v>
      </c>
      <c r="H518" t="s">
        <v>30</v>
      </c>
      <c r="I518" t="str">
        <f t="shared" si="33"/>
        <v>S000519Domaine Odoul-Coquard Vosne-Romanée2022</v>
      </c>
      <c r="J518">
        <f t="shared" si="36"/>
        <v>1</v>
      </c>
    </row>
    <row r="519" spans="1:10">
      <c r="A519" t="s">
        <v>1052</v>
      </c>
      <c r="B519" t="s">
        <v>1053</v>
      </c>
      <c r="C519" t="s">
        <v>56</v>
      </c>
      <c r="D519" t="str">
        <f t="shared" si="34"/>
        <v>S000520Ornellaia Bolgheri Superiore 2021</v>
      </c>
      <c r="E519">
        <f t="shared" si="35"/>
        <v>1</v>
      </c>
      <c r="F519" t="s">
        <v>1052</v>
      </c>
      <c r="G519" t="s">
        <v>1053</v>
      </c>
      <c r="H519" t="s">
        <v>56</v>
      </c>
      <c r="I519" t="str">
        <f t="shared" si="33"/>
        <v>S000520Ornellaia Bolgheri Superiore 2021</v>
      </c>
      <c r="J519">
        <f t="shared" si="36"/>
        <v>1</v>
      </c>
    </row>
    <row r="520" spans="1:10">
      <c r="A520" t="s">
        <v>1054</v>
      </c>
      <c r="B520" t="s">
        <v>1055</v>
      </c>
      <c r="C520" t="s">
        <v>907</v>
      </c>
      <c r="D520" t="str">
        <f t="shared" si="34"/>
        <v>S000521Château Palmer Margaux Troisième Grand Cru Classé1983</v>
      </c>
      <c r="E520">
        <f t="shared" si="35"/>
        <v>1</v>
      </c>
      <c r="F520" t="s">
        <v>1054</v>
      </c>
      <c r="G520" t="s">
        <v>1055</v>
      </c>
      <c r="H520" t="s">
        <v>907</v>
      </c>
      <c r="I520" t="str">
        <f t="shared" si="33"/>
        <v>S000521Château Palmer Margaux Troisième Grand Cru Classé1983</v>
      </c>
      <c r="J520">
        <f t="shared" si="36"/>
        <v>1</v>
      </c>
    </row>
    <row r="521" spans="1:10">
      <c r="A521" t="s">
        <v>1056</v>
      </c>
      <c r="B521" t="s">
        <v>1055</v>
      </c>
      <c r="C521" t="s">
        <v>706</v>
      </c>
      <c r="D521" t="str">
        <f t="shared" si="34"/>
        <v>S000522Château Palmer Margaux Troisième Grand Cru Classé1986</v>
      </c>
      <c r="E521">
        <f t="shared" si="35"/>
        <v>1</v>
      </c>
      <c r="F521" t="s">
        <v>1056</v>
      </c>
      <c r="G521" t="s">
        <v>1055</v>
      </c>
      <c r="H521" t="s">
        <v>706</v>
      </c>
      <c r="I521" t="str">
        <f t="shared" si="33"/>
        <v>S000522Château Palmer Margaux Troisième Grand Cru Classé1986</v>
      </c>
      <c r="J521">
        <f t="shared" si="36"/>
        <v>1</v>
      </c>
    </row>
    <row r="522" spans="1:10">
      <c r="A522" t="s">
        <v>1057</v>
      </c>
      <c r="B522" t="s">
        <v>1058</v>
      </c>
      <c r="C522" t="s">
        <v>81</v>
      </c>
      <c r="D522" t="str">
        <f t="shared" si="34"/>
        <v>S000523Château Pape Clément Pessac-Léognan Grand Cru Classé de Graves2019</v>
      </c>
      <c r="E522">
        <f t="shared" si="35"/>
        <v>1</v>
      </c>
      <c r="F522" t="s">
        <v>1057</v>
      </c>
      <c r="G522" t="s">
        <v>1058</v>
      </c>
      <c r="H522" t="s">
        <v>81</v>
      </c>
      <c r="I522" t="str">
        <f t="shared" si="33"/>
        <v>S000523Château Pape Clément Pessac-Léognan Grand Cru Classé de Graves2019</v>
      </c>
      <c r="J522">
        <f t="shared" si="36"/>
        <v>1</v>
      </c>
    </row>
    <row r="523" spans="1:10">
      <c r="A523" t="s">
        <v>1059</v>
      </c>
      <c r="B523" t="s">
        <v>1060</v>
      </c>
      <c r="C523" t="s">
        <v>56</v>
      </c>
      <c r="D523" t="str">
        <f t="shared" si="34"/>
        <v>S000524Domaine Les Parcellaires de Saulx Aloxe-Corton 'Les Fournieres' Premier Cru2021</v>
      </c>
      <c r="E523">
        <f t="shared" si="35"/>
        <v>1</v>
      </c>
      <c r="F523" t="s">
        <v>1059</v>
      </c>
      <c r="G523" t="s">
        <v>1060</v>
      </c>
      <c r="H523" t="s">
        <v>56</v>
      </c>
      <c r="I523" t="str">
        <f t="shared" si="33"/>
        <v>S000524Domaine Les Parcellaires de Saulx Aloxe-Corton 'Les Fournieres' Premier Cru2021</v>
      </c>
      <c r="J523">
        <f t="shared" si="36"/>
        <v>1</v>
      </c>
    </row>
    <row r="524" spans="1:10">
      <c r="A524" t="s">
        <v>1061</v>
      </c>
      <c r="B524" t="s">
        <v>1062</v>
      </c>
      <c r="C524" t="s">
        <v>56</v>
      </c>
      <c r="D524" t="str">
        <f t="shared" si="34"/>
        <v>S000525Domaine Les Parcellaires de Saulx Chambolle-Musigny 'Les Feusselottes' Premier Cru2021</v>
      </c>
      <c r="E524">
        <f t="shared" si="35"/>
        <v>1</v>
      </c>
      <c r="F524" t="s">
        <v>1061</v>
      </c>
      <c r="G524" t="s">
        <v>1062</v>
      </c>
      <c r="H524" t="s">
        <v>56</v>
      </c>
      <c r="I524" t="str">
        <f t="shared" si="33"/>
        <v>S000525Domaine Les Parcellaires de Saulx Chambolle-Musigny 'Les Feusselottes' Premier Cru2021</v>
      </c>
      <c r="J524">
        <f t="shared" si="36"/>
        <v>1</v>
      </c>
    </row>
    <row r="525" spans="1:10">
      <c r="A525" t="s">
        <v>1063</v>
      </c>
      <c r="B525" t="s">
        <v>1064</v>
      </c>
      <c r="C525" t="s">
        <v>92</v>
      </c>
      <c r="D525" t="str">
        <f t="shared" si="34"/>
        <v>S000526Domaine Les Parcellaires de Saulx Chapelle-Chambertin Grand Cru2020</v>
      </c>
      <c r="E525">
        <f t="shared" si="35"/>
        <v>1</v>
      </c>
      <c r="F525" t="s">
        <v>1063</v>
      </c>
      <c r="G525" t="s">
        <v>1064</v>
      </c>
      <c r="H525" t="s">
        <v>92</v>
      </c>
      <c r="I525" t="str">
        <f t="shared" si="33"/>
        <v>S000526Domaine Les Parcellaires de Saulx Chapelle-Chambertin Grand Cru2020</v>
      </c>
      <c r="J525">
        <f t="shared" si="36"/>
        <v>1</v>
      </c>
    </row>
    <row r="526" spans="1:10">
      <c r="A526" t="s">
        <v>1065</v>
      </c>
      <c r="B526" t="s">
        <v>1066</v>
      </c>
      <c r="C526" t="s">
        <v>30</v>
      </c>
      <c r="D526" t="str">
        <f t="shared" si="34"/>
        <v>S000527Les Parcellaires de Saulx Chapelle-Chambertin Grand Cru2022</v>
      </c>
      <c r="E526">
        <f t="shared" si="35"/>
        <v>1</v>
      </c>
      <c r="F526" t="s">
        <v>1065</v>
      </c>
      <c r="G526" t="s">
        <v>1066</v>
      </c>
      <c r="H526" t="s">
        <v>30</v>
      </c>
      <c r="I526" t="str">
        <f t="shared" si="33"/>
        <v>S000527Les Parcellaires de Saulx Chapelle-Chambertin Grand Cru2022</v>
      </c>
      <c r="J526">
        <f t="shared" si="36"/>
        <v>1</v>
      </c>
    </row>
    <row r="527" spans="1:10">
      <c r="A527" t="s">
        <v>1067</v>
      </c>
      <c r="B527" t="s">
        <v>1068</v>
      </c>
      <c r="C527" t="s">
        <v>30</v>
      </c>
      <c r="D527" t="str">
        <f t="shared" si="34"/>
        <v>S000528Les Parcellaires de Saulx Clos de Vougeot Grand Cru2022</v>
      </c>
      <c r="E527">
        <f t="shared" si="35"/>
        <v>1</v>
      </c>
      <c r="F527" t="s">
        <v>1067</v>
      </c>
      <c r="G527" t="s">
        <v>1068</v>
      </c>
      <c r="H527" t="s">
        <v>30</v>
      </c>
      <c r="I527" t="str">
        <f t="shared" si="33"/>
        <v>S000528Les Parcellaires de Saulx Clos de Vougeot Grand Cru2022</v>
      </c>
      <c r="J527">
        <f t="shared" si="36"/>
        <v>1</v>
      </c>
    </row>
    <row r="528" spans="1:10">
      <c r="A528" t="s">
        <v>1069</v>
      </c>
      <c r="B528" t="s">
        <v>1070</v>
      </c>
      <c r="C528" t="s">
        <v>30</v>
      </c>
      <c r="D528" t="str">
        <f t="shared" si="34"/>
        <v>S000529Les Parcellaires de Saulx Gevrey-Chambertin 'Les Corbeaux' Premier Cru2022</v>
      </c>
      <c r="E528">
        <f t="shared" si="35"/>
        <v>1</v>
      </c>
      <c r="F528" t="s">
        <v>1069</v>
      </c>
      <c r="G528" t="s">
        <v>1070</v>
      </c>
      <c r="H528" t="s">
        <v>30</v>
      </c>
      <c r="I528" t="str">
        <f t="shared" si="33"/>
        <v>S000529Les Parcellaires de Saulx Gevrey-Chambertin 'Les Corbeaux' Premier Cru2022</v>
      </c>
      <c r="J528">
        <f t="shared" si="36"/>
        <v>1</v>
      </c>
    </row>
    <row r="529" spans="1:10">
      <c r="A529" t="s">
        <v>1071</v>
      </c>
      <c r="B529" t="s">
        <v>1072</v>
      </c>
      <c r="C529" t="s">
        <v>30</v>
      </c>
      <c r="D529" t="str">
        <f t="shared" si="34"/>
        <v>S000530Les Parcellaires de Saulx Gevrey-Chambertin 'Les Evocelles'2022</v>
      </c>
      <c r="E529">
        <f t="shared" si="35"/>
        <v>1</v>
      </c>
      <c r="F529" t="s">
        <v>1071</v>
      </c>
      <c r="G529" t="s">
        <v>1072</v>
      </c>
      <c r="H529" t="s">
        <v>30</v>
      </c>
      <c r="I529" t="str">
        <f t="shared" si="33"/>
        <v>S000530Les Parcellaires de Saulx Gevrey-Chambertin 'Les Evocelles'2022</v>
      </c>
      <c r="J529">
        <f t="shared" si="36"/>
        <v>1</v>
      </c>
    </row>
    <row r="530" spans="1:10">
      <c r="A530" t="s">
        <v>1073</v>
      </c>
      <c r="B530" t="s">
        <v>1074</v>
      </c>
      <c r="C530" t="s">
        <v>30</v>
      </c>
      <c r="D530" t="str">
        <f t="shared" si="34"/>
        <v>S000531Les Parcellaires de Saulx Pommard Premier Cru Vieilles Vignes2022</v>
      </c>
      <c r="E530">
        <f t="shared" si="35"/>
        <v>1</v>
      </c>
      <c r="F530" t="s">
        <v>1073</v>
      </c>
      <c r="G530" t="s">
        <v>1074</v>
      </c>
      <c r="H530" t="s">
        <v>30</v>
      </c>
      <c r="I530" t="str">
        <f t="shared" si="33"/>
        <v>S000531Les Parcellaires de Saulx Pommard Premier Cru Vieilles Vignes2022</v>
      </c>
      <c r="J530">
        <f t="shared" si="36"/>
        <v>1</v>
      </c>
    </row>
    <row r="531" spans="1:10">
      <c r="A531" t="s">
        <v>1075</v>
      </c>
      <c r="B531" t="s">
        <v>1076</v>
      </c>
      <c r="C531" t="s">
        <v>30</v>
      </c>
      <c r="D531" t="str">
        <f t="shared" si="34"/>
        <v>S000532Les Parcellaires de Saulx Volnay2022</v>
      </c>
      <c r="E531">
        <f t="shared" si="35"/>
        <v>1</v>
      </c>
      <c r="F531" t="s">
        <v>1075</v>
      </c>
      <c r="G531" t="s">
        <v>1076</v>
      </c>
      <c r="H531" t="s">
        <v>30</v>
      </c>
      <c r="I531" t="str">
        <f t="shared" si="33"/>
        <v>S000532Les Parcellaires de Saulx Volnay2022</v>
      </c>
      <c r="J531">
        <f t="shared" si="36"/>
        <v>1</v>
      </c>
    </row>
    <row r="532" spans="1:10">
      <c r="A532" t="s">
        <v>1077</v>
      </c>
      <c r="B532" t="s">
        <v>1078</v>
      </c>
      <c r="C532" t="s">
        <v>137</v>
      </c>
      <c r="D532" t="str">
        <f t="shared" si="34"/>
        <v>S000533Paringa Chardonnay2017</v>
      </c>
      <c r="E532">
        <f t="shared" si="35"/>
        <v>1</v>
      </c>
      <c r="F532" t="s">
        <v>1077</v>
      </c>
      <c r="G532" t="s">
        <v>1078</v>
      </c>
      <c r="H532" t="s">
        <v>137</v>
      </c>
      <c r="I532" t="str">
        <f t="shared" si="33"/>
        <v>S000533Paringa Chardonnay2017</v>
      </c>
      <c r="J532">
        <f t="shared" si="36"/>
        <v>1</v>
      </c>
    </row>
    <row r="533" spans="1:10">
      <c r="A533" t="s">
        <v>1079</v>
      </c>
      <c r="B533" t="s">
        <v>1080</v>
      </c>
      <c r="C533" t="s">
        <v>289</v>
      </c>
      <c r="D533" t="str">
        <f t="shared" si="34"/>
        <v>S000534Patrick Maroiller Bourgogne Blanc2023</v>
      </c>
      <c r="E533">
        <f t="shared" si="35"/>
        <v>1</v>
      </c>
      <c r="F533" t="s">
        <v>1079</v>
      </c>
      <c r="G533" t="s">
        <v>1080</v>
      </c>
      <c r="H533" t="s">
        <v>289</v>
      </c>
      <c r="I533" t="str">
        <f t="shared" si="33"/>
        <v>S000534Patrick Maroiller Bourgogne Blanc2023</v>
      </c>
      <c r="J533">
        <f t="shared" si="36"/>
        <v>1</v>
      </c>
    </row>
    <row r="534" spans="1:10">
      <c r="A534" t="s">
        <v>1081</v>
      </c>
      <c r="B534" t="s">
        <v>1082</v>
      </c>
      <c r="C534" t="s">
        <v>289</v>
      </c>
      <c r="D534" t="str">
        <f t="shared" si="34"/>
        <v>S000535Patrick Maroiller Bourgogne Rouge2023</v>
      </c>
      <c r="E534">
        <f t="shared" si="35"/>
        <v>1</v>
      </c>
      <c r="F534" t="s">
        <v>1081</v>
      </c>
      <c r="G534" t="s">
        <v>1082</v>
      </c>
      <c r="H534" t="s">
        <v>289</v>
      </c>
      <c r="I534" t="str">
        <f t="shared" si="33"/>
        <v>S000535Patrick Maroiller Bourgogne Rouge2023</v>
      </c>
      <c r="J534">
        <f t="shared" si="36"/>
        <v>1</v>
      </c>
    </row>
    <row r="535" spans="1:10">
      <c r="A535" t="s">
        <v>1083</v>
      </c>
      <c r="B535" t="s">
        <v>1084</v>
      </c>
      <c r="C535" t="s">
        <v>30</v>
      </c>
      <c r="D535" t="str">
        <f t="shared" si="34"/>
        <v>S000536Patrick Maroiller Gevrey-Chambertin2022</v>
      </c>
      <c r="E535">
        <f t="shared" si="35"/>
        <v>1</v>
      </c>
      <c r="F535" t="s">
        <v>1083</v>
      </c>
      <c r="G535" t="s">
        <v>1084</v>
      </c>
      <c r="H535" t="s">
        <v>30</v>
      </c>
      <c r="I535" t="str">
        <f t="shared" si="33"/>
        <v>S000536Patrick Maroiller Gevrey-Chambertin2022</v>
      </c>
      <c r="J535">
        <f t="shared" si="36"/>
        <v>1</v>
      </c>
    </row>
    <row r="536" spans="1:10">
      <c r="A536" t="s">
        <v>1085</v>
      </c>
      <c r="B536" t="s">
        <v>1086</v>
      </c>
      <c r="C536" t="s">
        <v>289</v>
      </c>
      <c r="D536" t="str">
        <f t="shared" si="34"/>
        <v>S000537Patrick Maroiller Gevrey-Chambertin 'Les Crais Cuvee Damien'2023</v>
      </c>
      <c r="E536">
        <f t="shared" si="35"/>
        <v>1</v>
      </c>
      <c r="F536" t="s">
        <v>1085</v>
      </c>
      <c r="G536" t="s">
        <v>1086</v>
      </c>
      <c r="H536" t="s">
        <v>289</v>
      </c>
      <c r="I536" t="str">
        <f t="shared" si="33"/>
        <v>S000537Patrick Maroiller Gevrey-Chambertin 'Les Crais Cuvee Damien'2023</v>
      </c>
      <c r="J536">
        <f t="shared" si="36"/>
        <v>1</v>
      </c>
    </row>
    <row r="537" spans="1:10">
      <c r="A537" t="s">
        <v>1087</v>
      </c>
      <c r="B537" t="s">
        <v>1088</v>
      </c>
      <c r="C537" t="s">
        <v>289</v>
      </c>
      <c r="D537" t="str">
        <f t="shared" si="34"/>
        <v>S000538Patrick Maroiller Marsannay Blanc 'Les Etalles'2023</v>
      </c>
      <c r="E537">
        <f t="shared" si="35"/>
        <v>1</v>
      </c>
      <c r="F537" t="s">
        <v>1087</v>
      </c>
      <c r="G537" t="s">
        <v>1088</v>
      </c>
      <c r="H537" t="s">
        <v>289</v>
      </c>
      <c r="I537" t="str">
        <f t="shared" si="33"/>
        <v>S000538Patrick Maroiller Marsannay Blanc 'Les Etalles'2023</v>
      </c>
      <c r="J537">
        <f t="shared" si="36"/>
        <v>1</v>
      </c>
    </row>
    <row r="538" spans="1:10">
      <c r="A538" t="s">
        <v>1089</v>
      </c>
      <c r="B538" t="s">
        <v>1090</v>
      </c>
      <c r="C538" t="s">
        <v>289</v>
      </c>
      <c r="D538" t="str">
        <f t="shared" si="34"/>
        <v>S000539Patrick Maroiller Marsannay 'Au Potey'2023</v>
      </c>
      <c r="E538">
        <f t="shared" si="35"/>
        <v>1</v>
      </c>
      <c r="F538" t="s">
        <v>1089</v>
      </c>
      <c r="G538" t="s">
        <v>1090</v>
      </c>
      <c r="H538" t="s">
        <v>289</v>
      </c>
      <c r="I538" t="str">
        <f t="shared" si="33"/>
        <v>S000539Patrick Maroiller Marsannay 'Au Potey'2023</v>
      </c>
      <c r="J538">
        <f t="shared" si="36"/>
        <v>1</v>
      </c>
    </row>
    <row r="539" spans="1:10">
      <c r="A539" t="s">
        <v>1091</v>
      </c>
      <c r="B539" t="s">
        <v>1092</v>
      </c>
      <c r="C539" t="s">
        <v>30</v>
      </c>
      <c r="D539" t="str">
        <f t="shared" si="34"/>
        <v>S000540Patrick Maroiller Marsannay 'Aux Grands Bandeaux'2022</v>
      </c>
      <c r="E539">
        <f t="shared" si="35"/>
        <v>1</v>
      </c>
      <c r="F539" t="s">
        <v>1091</v>
      </c>
      <c r="G539" t="s">
        <v>1092</v>
      </c>
      <c r="H539" t="s">
        <v>30</v>
      </c>
      <c r="I539" t="str">
        <f t="shared" si="33"/>
        <v>S000540Patrick Maroiller Marsannay 'Aux Grands Bandeaux'2022</v>
      </c>
      <c r="J539">
        <f t="shared" si="36"/>
        <v>1</v>
      </c>
    </row>
    <row r="540" spans="1:10">
      <c r="A540" t="s">
        <v>1093</v>
      </c>
      <c r="B540" t="s">
        <v>1092</v>
      </c>
      <c r="C540" t="s">
        <v>289</v>
      </c>
      <c r="D540" t="str">
        <f t="shared" si="34"/>
        <v>S000541Patrick Maroiller Marsannay 'Aux Grands Bandeaux'2023</v>
      </c>
      <c r="E540">
        <f t="shared" si="35"/>
        <v>1</v>
      </c>
      <c r="F540" t="s">
        <v>1093</v>
      </c>
      <c r="G540" t="s">
        <v>1092</v>
      </c>
      <c r="H540" t="s">
        <v>289</v>
      </c>
      <c r="I540" t="str">
        <f t="shared" si="33"/>
        <v>S000541Patrick Maroiller Marsannay 'Aux Grands Bandeaux'2023</v>
      </c>
      <c r="J540">
        <f t="shared" si="36"/>
        <v>1</v>
      </c>
    </row>
    <row r="541" spans="1:10">
      <c r="A541" t="s">
        <v>1094</v>
      </c>
      <c r="B541" t="s">
        <v>1095</v>
      </c>
      <c r="C541" t="s">
        <v>133</v>
      </c>
      <c r="D541" t="str">
        <f t="shared" si="34"/>
        <v>S000542Paul Jaboulet Aine Hermitage 'La Maison Bleue'2007</v>
      </c>
      <c r="E541">
        <f t="shared" si="35"/>
        <v>1</v>
      </c>
      <c r="F541" t="s">
        <v>1094</v>
      </c>
      <c r="G541" t="s">
        <v>1095</v>
      </c>
      <c r="H541" t="s">
        <v>133</v>
      </c>
      <c r="I541" t="str">
        <f t="shared" si="33"/>
        <v>S000542Paul Jaboulet Aine Hermitage 'La Maison Bleue'2007</v>
      </c>
      <c r="J541">
        <f t="shared" si="36"/>
        <v>1</v>
      </c>
    </row>
    <row r="542" spans="1:10">
      <c r="A542" t="s">
        <v>1096</v>
      </c>
      <c r="B542" t="s">
        <v>1097</v>
      </c>
      <c r="C542" t="s">
        <v>114</v>
      </c>
      <c r="D542" t="str">
        <f t="shared" si="34"/>
        <v>S000543Château Pavie-Decesse Saint-Émilion Grand Cru2014</v>
      </c>
      <c r="E542">
        <f t="shared" si="35"/>
        <v>1</v>
      </c>
      <c r="F542" t="s">
        <v>1096</v>
      </c>
      <c r="G542" t="s">
        <v>1097</v>
      </c>
      <c r="H542" t="s">
        <v>114</v>
      </c>
      <c r="I542" t="str">
        <f t="shared" si="33"/>
        <v>S000543Château Pavie-Decesse Saint-Émilion Grand Cru2014</v>
      </c>
      <c r="J542">
        <f t="shared" si="36"/>
        <v>1</v>
      </c>
    </row>
    <row r="543" spans="1:10">
      <c r="A543" t="s">
        <v>1098</v>
      </c>
      <c r="B543" t="s">
        <v>1099</v>
      </c>
      <c r="C543" t="s">
        <v>81</v>
      </c>
      <c r="D543" t="str">
        <f t="shared" si="34"/>
        <v>S000544Pavillon Rouge du Chateau Margaux 2019</v>
      </c>
      <c r="E543">
        <f t="shared" si="35"/>
        <v>1</v>
      </c>
      <c r="F543" t="s">
        <v>1098</v>
      </c>
      <c r="G543" t="s">
        <v>1099</v>
      </c>
      <c r="H543" t="s">
        <v>81</v>
      </c>
      <c r="I543" t="str">
        <f t="shared" si="33"/>
        <v>S000544Pavillon Rouge du Chateau Margaux 2019</v>
      </c>
      <c r="J543">
        <f t="shared" si="36"/>
        <v>1</v>
      </c>
    </row>
    <row r="544" spans="1:10">
      <c r="A544" t="s">
        <v>1100</v>
      </c>
      <c r="B544" t="s">
        <v>1101</v>
      </c>
      <c r="C544" t="s">
        <v>1102</v>
      </c>
      <c r="D544" t="str">
        <f t="shared" si="34"/>
        <v>S000545Penfolds Grange 1995</v>
      </c>
      <c r="E544">
        <f t="shared" si="35"/>
        <v>1</v>
      </c>
      <c r="F544" t="s">
        <v>1100</v>
      </c>
      <c r="G544" t="s">
        <v>1101</v>
      </c>
      <c r="H544" t="s">
        <v>1102</v>
      </c>
      <c r="I544" t="str">
        <f t="shared" si="33"/>
        <v>S000545Penfolds Grange 1995</v>
      </c>
      <c r="J544">
        <f t="shared" si="36"/>
        <v>1</v>
      </c>
    </row>
    <row r="545" spans="1:10">
      <c r="A545" t="s">
        <v>1103</v>
      </c>
      <c r="B545" t="s">
        <v>891</v>
      </c>
      <c r="C545" t="s">
        <v>114</v>
      </c>
      <c r="D545" t="str">
        <f t="shared" si="34"/>
        <v>S000546Château Léoville-Las Cases 'Le Petit Lion du Marquis de Las Cases' Saint-Julien2014</v>
      </c>
      <c r="E545">
        <f t="shared" si="35"/>
        <v>1</v>
      </c>
      <c r="F545" t="s">
        <v>1103</v>
      </c>
      <c r="G545" t="s">
        <v>891</v>
      </c>
      <c r="H545" t="s">
        <v>114</v>
      </c>
      <c r="I545" t="str">
        <f t="shared" si="33"/>
        <v>S000546Château Léoville-Las Cases 'Le Petit Lion du Marquis de Las Cases' Saint-Julien2014</v>
      </c>
      <c r="J545">
        <f t="shared" si="36"/>
        <v>1</v>
      </c>
    </row>
    <row r="546" spans="1:10">
      <c r="A546" t="s">
        <v>1104</v>
      </c>
      <c r="B546" t="s">
        <v>1105</v>
      </c>
      <c r="C546" t="s">
        <v>30</v>
      </c>
      <c r="D546" t="str">
        <f t="shared" si="34"/>
        <v>S000547Petit-Roy Bourgogne Aligoté 'Fusion'2022</v>
      </c>
      <c r="E546">
        <f t="shared" si="35"/>
        <v>1</v>
      </c>
      <c r="F546" t="s">
        <v>1104</v>
      </c>
      <c r="G546" t="s">
        <v>1105</v>
      </c>
      <c r="H546" t="s">
        <v>30</v>
      </c>
      <c r="I546" t="str">
        <f t="shared" si="33"/>
        <v>S000547Petit-Roy Bourgogne Aligoté 'Fusion'2022</v>
      </c>
      <c r="J546">
        <f t="shared" si="36"/>
        <v>1</v>
      </c>
    </row>
    <row r="547" spans="1:10">
      <c r="A547" t="s">
        <v>1106</v>
      </c>
      <c r="B547" t="s">
        <v>1107</v>
      </c>
      <c r="C547" t="s">
        <v>30</v>
      </c>
      <c r="D547" t="str">
        <f t="shared" si="34"/>
        <v>S000548Petit-Roy Bourgogne Côte d'Or 'Si' Rouge2022</v>
      </c>
      <c r="E547">
        <f t="shared" si="35"/>
        <v>1</v>
      </c>
      <c r="F547" t="s">
        <v>1106</v>
      </c>
      <c r="G547" t="s">
        <v>1107</v>
      </c>
      <c r="H547" t="s">
        <v>30</v>
      </c>
      <c r="I547" t="str">
        <f t="shared" si="33"/>
        <v>S000548Petit-Roy Bourgogne Côte d'Or 'Si' Rouge2022</v>
      </c>
      <c r="J547">
        <f t="shared" si="36"/>
        <v>1</v>
      </c>
    </row>
    <row r="548" spans="1:10">
      <c r="A548" t="s">
        <v>1108</v>
      </c>
      <c r="B548" t="s">
        <v>1109</v>
      </c>
      <c r="C548" t="s">
        <v>30</v>
      </c>
      <c r="D548" t="str">
        <f t="shared" si="34"/>
        <v>S000549Petit-Roy Fleurie 'Passion'2022</v>
      </c>
      <c r="E548">
        <f t="shared" si="35"/>
        <v>1</v>
      </c>
      <c r="F548" t="s">
        <v>1108</v>
      </c>
      <c r="G548" t="s">
        <v>1109</v>
      </c>
      <c r="H548" t="s">
        <v>30</v>
      </c>
      <c r="I548" t="str">
        <f t="shared" si="33"/>
        <v>S000549Petit-Roy Fleurie 'Passion'2022</v>
      </c>
      <c r="J548">
        <f t="shared" si="36"/>
        <v>1</v>
      </c>
    </row>
    <row r="549" spans="1:10">
      <c r="A549" t="s">
        <v>1110</v>
      </c>
      <c r="B549" t="s">
        <v>1111</v>
      </c>
      <c r="C549" t="s">
        <v>30</v>
      </c>
      <c r="D549" t="str">
        <f t="shared" si="34"/>
        <v>S000550Petit-Roy Pernand-Vergelesses 'Les Fichots' Premier Cru2022</v>
      </c>
      <c r="E549">
        <f t="shared" si="35"/>
        <v>1</v>
      </c>
      <c r="F549" t="s">
        <v>1110</v>
      </c>
      <c r="G549" t="s">
        <v>1111</v>
      </c>
      <c r="H549" t="s">
        <v>30</v>
      </c>
      <c r="I549" t="str">
        <f t="shared" si="33"/>
        <v>S000550Petit-Roy Pernand-Vergelesses 'Les Fichots' Premier Cru2022</v>
      </c>
      <c r="J549">
        <f t="shared" si="36"/>
        <v>1</v>
      </c>
    </row>
    <row r="550" spans="1:10">
      <c r="A550" t="s">
        <v>1112</v>
      </c>
      <c r="B550" t="s">
        <v>1113</v>
      </c>
      <c r="C550" t="s">
        <v>30</v>
      </c>
      <c r="D550" t="str">
        <f t="shared" si="34"/>
        <v>S000551Petit-Roy Bourgogne Hautes Cotes de Beaune 'Ronsin'2022</v>
      </c>
      <c r="E550">
        <f t="shared" si="35"/>
        <v>1</v>
      </c>
      <c r="F550" t="s">
        <v>1112</v>
      </c>
      <c r="G550" t="s">
        <v>1113</v>
      </c>
      <c r="H550" t="s">
        <v>30</v>
      </c>
      <c r="I550" t="str">
        <f t="shared" si="33"/>
        <v>S000551Petit-Roy Bourgogne Hautes Cotes de Beaune 'Ronsin'2022</v>
      </c>
      <c r="J550">
        <f t="shared" si="36"/>
        <v>1</v>
      </c>
    </row>
    <row r="551" spans="1:10">
      <c r="A551" t="s">
        <v>1114</v>
      </c>
      <c r="B551" t="s">
        <v>1115</v>
      </c>
      <c r="C551" t="s">
        <v>30</v>
      </c>
      <c r="D551" t="str">
        <f t="shared" si="34"/>
        <v>S000552Petit-Roy Savigny-lès-Beaune2022</v>
      </c>
      <c r="E551">
        <f t="shared" si="35"/>
        <v>1</v>
      </c>
      <c r="F551" t="s">
        <v>1114</v>
      </c>
      <c r="G551" t="s">
        <v>1115</v>
      </c>
      <c r="H551" t="s">
        <v>30</v>
      </c>
      <c r="I551" t="str">
        <f t="shared" si="33"/>
        <v>S000552Petit-Roy Savigny-lès-Beaune2022</v>
      </c>
      <c r="J551">
        <f t="shared" si="36"/>
        <v>1</v>
      </c>
    </row>
    <row r="552" spans="1:10">
      <c r="A552" t="s">
        <v>1116</v>
      </c>
      <c r="B552" t="s">
        <v>1117</v>
      </c>
      <c r="C552" t="s">
        <v>30</v>
      </c>
      <c r="D552" t="str">
        <f t="shared" si="34"/>
        <v>S000553Petit-Roy Savigny-lès-Beaune 'Les Lavières' Premier Cru2022</v>
      </c>
      <c r="E552">
        <f t="shared" si="35"/>
        <v>1</v>
      </c>
      <c r="F552" t="s">
        <v>1116</v>
      </c>
      <c r="G552" t="s">
        <v>1117</v>
      </c>
      <c r="H552" t="s">
        <v>30</v>
      </c>
      <c r="I552" t="str">
        <f t="shared" si="33"/>
        <v>S000553Petit-Roy Savigny-lès-Beaune 'Les Lavières' Premier Cru2022</v>
      </c>
      <c r="J552">
        <f t="shared" si="36"/>
        <v>1</v>
      </c>
    </row>
    <row r="553" spans="1:10">
      <c r="A553" t="s">
        <v>1118</v>
      </c>
      <c r="B553" t="s">
        <v>1119</v>
      </c>
      <c r="C553" t="s">
        <v>118</v>
      </c>
      <c r="D553" t="str">
        <f t="shared" si="34"/>
        <v>S000554Domaine Philippe Charlopin-Parizot Bonnes-Mares Grand Cru2018</v>
      </c>
      <c r="E553">
        <f t="shared" si="35"/>
        <v>1</v>
      </c>
      <c r="F553" t="s">
        <v>1118</v>
      </c>
      <c r="G553" t="s">
        <v>1119</v>
      </c>
      <c r="H553" t="s">
        <v>118</v>
      </c>
      <c r="I553" t="str">
        <f t="shared" si="33"/>
        <v>S000554Domaine Philippe Charlopin-Parizot Bonnes-Mares Grand Cru2018</v>
      </c>
      <c r="J553">
        <f t="shared" si="36"/>
        <v>1</v>
      </c>
    </row>
    <row r="554" spans="1:10">
      <c r="A554" t="s">
        <v>1120</v>
      </c>
      <c r="B554" t="s">
        <v>1119</v>
      </c>
      <c r="C554" t="s">
        <v>30</v>
      </c>
      <c r="D554" t="str">
        <f t="shared" si="34"/>
        <v>S000555Domaine Philippe Charlopin-Parizot Bonnes-Mares Grand Cru2022</v>
      </c>
      <c r="E554">
        <f t="shared" si="35"/>
        <v>1</v>
      </c>
      <c r="F554" t="s">
        <v>1120</v>
      </c>
      <c r="G554" t="s">
        <v>1119</v>
      </c>
      <c r="H554" t="s">
        <v>30</v>
      </c>
      <c r="I554" t="str">
        <f t="shared" si="33"/>
        <v>S000555Domaine Philippe Charlopin-Parizot Bonnes-Mares Grand Cru2022</v>
      </c>
      <c r="J554">
        <f t="shared" si="36"/>
        <v>1</v>
      </c>
    </row>
    <row r="555" spans="1:10">
      <c r="A555" t="s">
        <v>1121</v>
      </c>
      <c r="B555" t="s">
        <v>1122</v>
      </c>
      <c r="C555" t="s">
        <v>30</v>
      </c>
      <c r="D555" t="str">
        <f t="shared" si="34"/>
        <v>S000556Domaine Philippe Charlopin-Parizot Bourgogne Blanc2022</v>
      </c>
      <c r="E555">
        <f t="shared" si="35"/>
        <v>1</v>
      </c>
      <c r="F555" t="s">
        <v>1121</v>
      </c>
      <c r="G555" t="s">
        <v>1122</v>
      </c>
      <c r="H555" t="s">
        <v>30</v>
      </c>
      <c r="I555" t="str">
        <f t="shared" si="33"/>
        <v>S000556Domaine Philippe Charlopin-Parizot Bourgogne Blanc2022</v>
      </c>
      <c r="J555">
        <f t="shared" si="36"/>
        <v>1</v>
      </c>
    </row>
    <row r="556" spans="1:10">
      <c r="A556" t="s">
        <v>1123</v>
      </c>
      <c r="B556" t="s">
        <v>1124</v>
      </c>
      <c r="C556" t="s">
        <v>56</v>
      </c>
      <c r="D556" t="str">
        <f t="shared" si="34"/>
        <v>S000557Domaine Philippe Charlopin-Parizot Bourgogne Côte d'Or 'Tête de Cuvée'2021</v>
      </c>
      <c r="E556">
        <f t="shared" si="35"/>
        <v>1</v>
      </c>
      <c r="F556" t="s">
        <v>1123</v>
      </c>
      <c r="G556" t="s">
        <v>1124</v>
      </c>
      <c r="H556" t="s">
        <v>56</v>
      </c>
      <c r="I556" t="str">
        <f t="shared" si="33"/>
        <v>S000557Domaine Philippe Charlopin-Parizot Bourgogne Côte d'Or 'Tête de Cuvée'2021</v>
      </c>
      <c r="J556">
        <f t="shared" si="36"/>
        <v>1</v>
      </c>
    </row>
    <row r="557" spans="1:10">
      <c r="A557" t="s">
        <v>1125</v>
      </c>
      <c r="B557" t="s">
        <v>1126</v>
      </c>
      <c r="C557" t="s">
        <v>30</v>
      </c>
      <c r="D557" t="str">
        <f t="shared" si="34"/>
        <v>S000558Domaine Philippe Charlopin-Parizot Bourgogne Côte d'Or Rouge2022</v>
      </c>
      <c r="E557">
        <f t="shared" si="35"/>
        <v>1</v>
      </c>
      <c r="F557" t="s">
        <v>1125</v>
      </c>
      <c r="G557" t="s">
        <v>1126</v>
      </c>
      <c r="H557" t="s">
        <v>30</v>
      </c>
      <c r="I557" t="str">
        <f t="shared" si="33"/>
        <v>S000558Domaine Philippe Charlopin-Parizot Bourgogne Côte d'Or Rouge2022</v>
      </c>
      <c r="J557">
        <f t="shared" si="36"/>
        <v>1</v>
      </c>
    </row>
    <row r="558" spans="1:10">
      <c r="A558" t="s">
        <v>1127</v>
      </c>
      <c r="B558" t="s">
        <v>1128</v>
      </c>
      <c r="C558" t="s">
        <v>92</v>
      </c>
      <c r="D558" t="str">
        <f t="shared" si="34"/>
        <v>S000559Domaine Philippe Charlopin-Parizot Chambertin Grand Cru2020</v>
      </c>
      <c r="E558">
        <f t="shared" si="35"/>
        <v>1</v>
      </c>
      <c r="F558" t="s">
        <v>1127</v>
      </c>
      <c r="G558" t="s">
        <v>1128</v>
      </c>
      <c r="H558" t="s">
        <v>92</v>
      </c>
      <c r="I558" t="str">
        <f t="shared" si="33"/>
        <v>S000559Domaine Philippe Charlopin-Parizot Chambertin Grand Cru2020</v>
      </c>
      <c r="J558">
        <f t="shared" si="36"/>
        <v>1</v>
      </c>
    </row>
    <row r="559" spans="1:10">
      <c r="A559" t="s">
        <v>1129</v>
      </c>
      <c r="B559" t="s">
        <v>1128</v>
      </c>
      <c r="C559" t="s">
        <v>30</v>
      </c>
      <c r="D559" t="str">
        <f t="shared" si="34"/>
        <v>S000560Domaine Philippe Charlopin-Parizot Chambertin Grand Cru2022</v>
      </c>
      <c r="E559">
        <f t="shared" si="35"/>
        <v>1</v>
      </c>
      <c r="F559" t="s">
        <v>1129</v>
      </c>
      <c r="G559" t="s">
        <v>1128</v>
      </c>
      <c r="H559" t="s">
        <v>30</v>
      </c>
      <c r="I559" t="str">
        <f t="shared" si="33"/>
        <v>S000560Domaine Philippe Charlopin-Parizot Chambertin Grand Cru2022</v>
      </c>
      <c r="J559">
        <f t="shared" si="36"/>
        <v>1</v>
      </c>
    </row>
    <row r="560" spans="1:10">
      <c r="A560" t="s">
        <v>1130</v>
      </c>
      <c r="B560" t="s">
        <v>1131</v>
      </c>
      <c r="C560" t="s">
        <v>92</v>
      </c>
      <c r="D560" t="str">
        <f t="shared" si="34"/>
        <v>S000561Domaine Philippe Charlopin-Parizot Chambolle-Musigny2020</v>
      </c>
      <c r="E560">
        <f t="shared" si="35"/>
        <v>1</v>
      </c>
      <c r="F560" t="s">
        <v>1130</v>
      </c>
      <c r="G560" t="s">
        <v>1131</v>
      </c>
      <c r="H560" t="s">
        <v>92</v>
      </c>
      <c r="I560" t="str">
        <f t="shared" si="33"/>
        <v>S000561Domaine Philippe Charlopin-Parizot Chambolle-Musigny2020</v>
      </c>
      <c r="J560">
        <f t="shared" si="36"/>
        <v>1</v>
      </c>
    </row>
    <row r="561" spans="1:10">
      <c r="A561" t="s">
        <v>1132</v>
      </c>
      <c r="B561" t="s">
        <v>1131</v>
      </c>
      <c r="C561" t="s">
        <v>30</v>
      </c>
      <c r="D561" t="str">
        <f t="shared" si="34"/>
        <v>S000562Domaine Philippe Charlopin-Parizot Chambolle-Musigny2022</v>
      </c>
      <c r="E561">
        <f t="shared" si="35"/>
        <v>1</v>
      </c>
      <c r="F561" t="s">
        <v>1132</v>
      </c>
      <c r="G561" t="s">
        <v>1131</v>
      </c>
      <c r="H561" t="s">
        <v>30</v>
      </c>
      <c r="I561" t="str">
        <f t="shared" si="33"/>
        <v>S000562Domaine Philippe Charlopin-Parizot Chambolle-Musigny2022</v>
      </c>
      <c r="J561">
        <f t="shared" si="36"/>
        <v>1</v>
      </c>
    </row>
    <row r="562" spans="1:10">
      <c r="A562" t="s">
        <v>1133</v>
      </c>
      <c r="B562" t="s">
        <v>1134</v>
      </c>
      <c r="C562" t="s">
        <v>30</v>
      </c>
      <c r="D562" t="str">
        <f t="shared" si="34"/>
        <v>S000563Domaine Philippe Charlopin-Parizot Charmes-Chambertin Grand Cru2022</v>
      </c>
      <c r="E562">
        <f t="shared" si="35"/>
        <v>1</v>
      </c>
      <c r="F562" t="s">
        <v>1133</v>
      </c>
      <c r="G562" t="s">
        <v>1134</v>
      </c>
      <c r="H562" t="s">
        <v>30</v>
      </c>
      <c r="I562" t="str">
        <f t="shared" si="33"/>
        <v>S000563Domaine Philippe Charlopin-Parizot Charmes-Chambertin Grand Cru2022</v>
      </c>
      <c r="J562">
        <f t="shared" si="36"/>
        <v>1</v>
      </c>
    </row>
    <row r="563" spans="1:10">
      <c r="A563" t="s">
        <v>1135</v>
      </c>
      <c r="B563" t="s">
        <v>1136</v>
      </c>
      <c r="C563" t="s">
        <v>30</v>
      </c>
      <c r="D563" t="str">
        <f t="shared" si="34"/>
        <v>S000564Domaine Philippe Charlopin-Parizot Chassagne-Montrachet2022</v>
      </c>
      <c r="E563">
        <f t="shared" si="35"/>
        <v>1</v>
      </c>
      <c r="F563" t="s">
        <v>1135</v>
      </c>
      <c r="G563" t="s">
        <v>1136</v>
      </c>
      <c r="H563" t="s">
        <v>30</v>
      </c>
      <c r="I563" t="str">
        <f t="shared" si="33"/>
        <v>S000564Domaine Philippe Charlopin-Parizot Chassagne-Montrachet2022</v>
      </c>
      <c r="J563">
        <f t="shared" si="36"/>
        <v>1</v>
      </c>
    </row>
    <row r="564" spans="1:10">
      <c r="A564" t="s">
        <v>1137</v>
      </c>
      <c r="B564" t="s">
        <v>1138</v>
      </c>
      <c r="C564" t="s">
        <v>30</v>
      </c>
      <c r="D564" t="str">
        <f t="shared" si="34"/>
        <v>S000565Domaine Philippe Charlopin-Parizot Clos de Vougeot Grand Cru2022</v>
      </c>
      <c r="E564">
        <f t="shared" si="35"/>
        <v>1</v>
      </c>
      <c r="F564" t="s">
        <v>1137</v>
      </c>
      <c r="G564" t="s">
        <v>1138</v>
      </c>
      <c r="H564" t="s">
        <v>30</v>
      </c>
      <c r="I564" t="str">
        <f t="shared" si="33"/>
        <v>S000565Domaine Philippe Charlopin-Parizot Clos de Vougeot Grand Cru2022</v>
      </c>
      <c r="J564">
        <f t="shared" si="36"/>
        <v>1</v>
      </c>
    </row>
    <row r="565" spans="1:10">
      <c r="A565" t="s">
        <v>1139</v>
      </c>
      <c r="B565" t="s">
        <v>1140</v>
      </c>
      <c r="C565" t="s">
        <v>92</v>
      </c>
      <c r="D565" t="str">
        <f t="shared" si="34"/>
        <v>S000566Domaine Philippe Charlopin-Parizot Clos Saint Denis Grand Cru2020</v>
      </c>
      <c r="E565">
        <f t="shared" si="35"/>
        <v>1</v>
      </c>
      <c r="F565" t="s">
        <v>1139</v>
      </c>
      <c r="G565" t="s">
        <v>1140</v>
      </c>
      <c r="H565" t="s">
        <v>92</v>
      </c>
      <c r="I565" t="str">
        <f t="shared" si="33"/>
        <v>S000566Domaine Philippe Charlopin-Parizot Clos Saint Denis Grand Cru2020</v>
      </c>
      <c r="J565">
        <f t="shared" si="36"/>
        <v>1</v>
      </c>
    </row>
    <row r="566" spans="1:10">
      <c r="A566" t="s">
        <v>1141</v>
      </c>
      <c r="B566" t="s">
        <v>1140</v>
      </c>
      <c r="C566" t="s">
        <v>30</v>
      </c>
      <c r="D566" t="str">
        <f t="shared" si="34"/>
        <v>S000567Domaine Philippe Charlopin-Parizot Clos Saint Denis Grand Cru2022</v>
      </c>
      <c r="E566">
        <f t="shared" si="35"/>
        <v>1</v>
      </c>
      <c r="F566" t="s">
        <v>1141</v>
      </c>
      <c r="G566" t="s">
        <v>1140</v>
      </c>
      <c r="H566" t="s">
        <v>30</v>
      </c>
      <c r="I566" t="str">
        <f t="shared" si="33"/>
        <v>S000567Domaine Philippe Charlopin-Parizot Clos Saint Denis Grand Cru2022</v>
      </c>
      <c r="J566">
        <f t="shared" si="36"/>
        <v>1</v>
      </c>
    </row>
    <row r="567" spans="1:10">
      <c r="A567" t="s">
        <v>1142</v>
      </c>
      <c r="B567" t="s">
        <v>1143</v>
      </c>
      <c r="C567" t="s">
        <v>118</v>
      </c>
      <c r="D567" t="str">
        <f t="shared" si="34"/>
        <v>S000568Domaine Philippe Charlopin-Parizot Corton-Charlemagne Grand Cru2018</v>
      </c>
      <c r="E567">
        <f t="shared" si="35"/>
        <v>1</v>
      </c>
      <c r="F567" t="s">
        <v>1142</v>
      </c>
      <c r="G567" t="s">
        <v>1143</v>
      </c>
      <c r="H567" t="s">
        <v>118</v>
      </c>
      <c r="I567" t="str">
        <f t="shared" si="33"/>
        <v>S000568Domaine Philippe Charlopin-Parizot Corton-Charlemagne Grand Cru2018</v>
      </c>
      <c r="J567">
        <f t="shared" si="36"/>
        <v>1</v>
      </c>
    </row>
    <row r="568" spans="1:10">
      <c r="A568" t="s">
        <v>1144</v>
      </c>
      <c r="B568" t="s">
        <v>1143</v>
      </c>
      <c r="C568" t="s">
        <v>30</v>
      </c>
      <c r="D568" t="str">
        <f t="shared" si="34"/>
        <v>S000569Domaine Philippe Charlopin-Parizot Corton-Charlemagne Grand Cru2022</v>
      </c>
      <c r="E568">
        <f t="shared" si="35"/>
        <v>1</v>
      </c>
      <c r="F568" t="s">
        <v>1144</v>
      </c>
      <c r="G568" t="s">
        <v>1143</v>
      </c>
      <c r="H568" t="s">
        <v>30</v>
      </c>
      <c r="I568" t="str">
        <f t="shared" si="33"/>
        <v>S000569Domaine Philippe Charlopin-Parizot Corton-Charlemagne Grand Cru2022</v>
      </c>
      <c r="J568">
        <f t="shared" si="36"/>
        <v>1</v>
      </c>
    </row>
    <row r="569" spans="1:10">
      <c r="A569" t="s">
        <v>1145</v>
      </c>
      <c r="B569" t="s">
        <v>1146</v>
      </c>
      <c r="C569" t="s">
        <v>118</v>
      </c>
      <c r="D569" t="str">
        <f t="shared" si="34"/>
        <v>S000570Domaine Philippe Charlopin-Parizot Échezeaux Grand Cru2018</v>
      </c>
      <c r="E569">
        <f t="shared" si="35"/>
        <v>1</v>
      </c>
      <c r="F569" t="s">
        <v>1145</v>
      </c>
      <c r="G569" t="s">
        <v>1146</v>
      </c>
      <c r="H569" t="s">
        <v>118</v>
      </c>
      <c r="I569" t="str">
        <f t="shared" si="33"/>
        <v>S000570Domaine Philippe Charlopin-Parizot Échezeaux Grand Cru2018</v>
      </c>
      <c r="J569">
        <f t="shared" si="36"/>
        <v>1</v>
      </c>
    </row>
    <row r="570" spans="1:10">
      <c r="A570" t="s">
        <v>1147</v>
      </c>
      <c r="B570" t="s">
        <v>1146</v>
      </c>
      <c r="C570" t="s">
        <v>30</v>
      </c>
      <c r="D570" t="str">
        <f t="shared" si="34"/>
        <v>S000571Domaine Philippe Charlopin-Parizot Échezeaux Grand Cru2022</v>
      </c>
      <c r="E570">
        <f t="shared" si="35"/>
        <v>1</v>
      </c>
      <c r="F570" t="s">
        <v>1147</v>
      </c>
      <c r="G570" t="s">
        <v>1146</v>
      </c>
      <c r="H570" t="s">
        <v>30</v>
      </c>
      <c r="I570" t="str">
        <f t="shared" si="33"/>
        <v>S000571Domaine Philippe Charlopin-Parizot Échezeaux Grand Cru2022</v>
      </c>
      <c r="J570">
        <f t="shared" si="36"/>
        <v>1</v>
      </c>
    </row>
    <row r="571" spans="1:10">
      <c r="A571" t="s">
        <v>1148</v>
      </c>
      <c r="B571" t="s">
        <v>1149</v>
      </c>
      <c r="C571" t="s">
        <v>92</v>
      </c>
      <c r="D571" t="str">
        <f t="shared" si="34"/>
        <v>S000572Domaine Philippe Charlopin-Parizot Fixin 'La Cocarde'2020</v>
      </c>
      <c r="E571">
        <f t="shared" si="35"/>
        <v>1</v>
      </c>
      <c r="F571" t="s">
        <v>1148</v>
      </c>
      <c r="G571" t="s">
        <v>1149</v>
      </c>
      <c r="H571" t="s">
        <v>92</v>
      </c>
      <c r="I571" t="str">
        <f t="shared" si="33"/>
        <v>S000572Domaine Philippe Charlopin-Parizot Fixin 'La Cocarde'2020</v>
      </c>
      <c r="J571">
        <f t="shared" si="36"/>
        <v>1</v>
      </c>
    </row>
    <row r="572" spans="1:10">
      <c r="A572" t="s">
        <v>1150</v>
      </c>
      <c r="B572" t="s">
        <v>1151</v>
      </c>
      <c r="C572" t="s">
        <v>118</v>
      </c>
      <c r="D572" t="str">
        <f t="shared" si="34"/>
        <v>S000573Domaine Philippe Charlopin-Parizot Gevrey-Chambertin 'Bel Air' Premier Cru2018</v>
      </c>
      <c r="E572">
        <f t="shared" si="35"/>
        <v>1</v>
      </c>
      <c r="F572" t="s">
        <v>1150</v>
      </c>
      <c r="G572" t="s">
        <v>1151</v>
      </c>
      <c r="H572" t="s">
        <v>118</v>
      </c>
      <c r="I572" t="str">
        <f t="shared" si="33"/>
        <v>S000573Domaine Philippe Charlopin-Parizot Gevrey-Chambertin 'Bel Air' Premier Cru2018</v>
      </c>
      <c r="J572">
        <f t="shared" si="36"/>
        <v>1</v>
      </c>
    </row>
    <row r="573" spans="1:10">
      <c r="A573" t="s">
        <v>1152</v>
      </c>
      <c r="B573" t="s">
        <v>1153</v>
      </c>
      <c r="C573" t="s">
        <v>118</v>
      </c>
      <c r="D573" t="str">
        <f t="shared" si="34"/>
        <v>S000574Domaine Philippe Charlopin-Parizot Gevrey-Chambertin 'Les Evocelles'2018</v>
      </c>
      <c r="E573">
        <f t="shared" si="35"/>
        <v>1</v>
      </c>
      <c r="F573" t="s">
        <v>1152</v>
      </c>
      <c r="G573" t="s">
        <v>1153</v>
      </c>
      <c r="H573" t="s">
        <v>118</v>
      </c>
      <c r="I573" t="str">
        <f t="shared" si="33"/>
        <v>S000574Domaine Philippe Charlopin-Parizot Gevrey-Chambertin 'Les Evocelles'2018</v>
      </c>
      <c r="J573">
        <f t="shared" si="36"/>
        <v>1</v>
      </c>
    </row>
    <row r="574" spans="1:10">
      <c r="A574" t="s">
        <v>1154</v>
      </c>
      <c r="B574" t="s">
        <v>1153</v>
      </c>
      <c r="C574" t="s">
        <v>92</v>
      </c>
      <c r="D574" t="str">
        <f t="shared" si="34"/>
        <v>S000575Domaine Philippe Charlopin-Parizot Gevrey-Chambertin 'Les Evocelles'2020</v>
      </c>
      <c r="E574">
        <f t="shared" si="35"/>
        <v>1</v>
      </c>
      <c r="F574" t="s">
        <v>1154</v>
      </c>
      <c r="G574" t="s">
        <v>1153</v>
      </c>
      <c r="H574" t="s">
        <v>92</v>
      </c>
      <c r="I574" t="str">
        <f t="shared" si="33"/>
        <v>S000575Domaine Philippe Charlopin-Parizot Gevrey-Chambertin 'Les Evocelles'2020</v>
      </c>
      <c r="J574">
        <f t="shared" si="36"/>
        <v>1</v>
      </c>
    </row>
    <row r="575" spans="1:10">
      <c r="A575" t="s">
        <v>1155</v>
      </c>
      <c r="B575" t="s">
        <v>1153</v>
      </c>
      <c r="C575" t="s">
        <v>30</v>
      </c>
      <c r="D575" t="str">
        <f t="shared" si="34"/>
        <v>S000576Domaine Philippe Charlopin-Parizot Gevrey-Chambertin 'Les Evocelles'2022</v>
      </c>
      <c r="E575">
        <f t="shared" si="35"/>
        <v>1</v>
      </c>
      <c r="F575" t="s">
        <v>1155</v>
      </c>
      <c r="G575" t="s">
        <v>1153</v>
      </c>
      <c r="H575" t="s">
        <v>30</v>
      </c>
      <c r="I575" t="str">
        <f t="shared" si="33"/>
        <v>S000576Domaine Philippe Charlopin-Parizot Gevrey-Chambertin 'Les Evocelles'2022</v>
      </c>
      <c r="J575">
        <f t="shared" si="36"/>
        <v>1</v>
      </c>
    </row>
    <row r="576" spans="1:10">
      <c r="A576" t="s">
        <v>1156</v>
      </c>
      <c r="B576" t="s">
        <v>1157</v>
      </c>
      <c r="C576" t="s">
        <v>92</v>
      </c>
      <c r="D576" t="str">
        <f t="shared" si="34"/>
        <v>S000577Domaine Philippe Charlopin-Parizot Gevrey-Chambertin 'Les Terres Blanches'2020</v>
      </c>
      <c r="E576">
        <f t="shared" si="35"/>
        <v>1</v>
      </c>
      <c r="F576" t="s">
        <v>1156</v>
      </c>
      <c r="G576" t="s">
        <v>1157</v>
      </c>
      <c r="H576" t="s">
        <v>92</v>
      </c>
      <c r="I576" t="str">
        <f t="shared" si="33"/>
        <v>S000577Domaine Philippe Charlopin-Parizot Gevrey-Chambertin 'Les Terres Blanches'2020</v>
      </c>
      <c r="J576">
        <f t="shared" si="36"/>
        <v>1</v>
      </c>
    </row>
    <row r="577" spans="1:10">
      <c r="A577" t="s">
        <v>1158</v>
      </c>
      <c r="B577" t="s">
        <v>1157</v>
      </c>
      <c r="C577" t="s">
        <v>30</v>
      </c>
      <c r="D577" t="str">
        <f t="shared" si="34"/>
        <v>S000578Domaine Philippe Charlopin-Parizot Gevrey-Chambertin 'Les Terres Blanches'2022</v>
      </c>
      <c r="E577">
        <f t="shared" si="35"/>
        <v>1</v>
      </c>
      <c r="F577" t="s">
        <v>1158</v>
      </c>
      <c r="G577" t="s">
        <v>1157</v>
      </c>
      <c r="H577" t="s">
        <v>30</v>
      </c>
      <c r="I577" t="str">
        <f t="shared" ref="I577:I640" si="37">F577&amp;G577&amp;H577</f>
        <v>S000578Domaine Philippe Charlopin-Parizot Gevrey-Chambertin 'Les Terres Blanches'2022</v>
      </c>
      <c r="J577">
        <f t="shared" si="36"/>
        <v>1</v>
      </c>
    </row>
    <row r="578" spans="1:10">
      <c r="A578" t="s">
        <v>1159</v>
      </c>
      <c r="B578" t="s">
        <v>1160</v>
      </c>
      <c r="C578" t="s">
        <v>92</v>
      </c>
      <c r="D578" t="str">
        <f t="shared" si="34"/>
        <v>S000579Domaine Philippe Charlopin-Parizot Gevrey-Chambertin Vieilles Vignes2020</v>
      </c>
      <c r="E578">
        <f t="shared" si="35"/>
        <v>1</v>
      </c>
      <c r="F578" t="s">
        <v>1159</v>
      </c>
      <c r="G578" t="s">
        <v>1160</v>
      </c>
      <c r="H578" t="s">
        <v>92</v>
      </c>
      <c r="I578" t="str">
        <f t="shared" si="37"/>
        <v>S000579Domaine Philippe Charlopin-Parizot Gevrey-Chambertin Vieilles Vignes2020</v>
      </c>
      <c r="J578">
        <f t="shared" si="36"/>
        <v>1</v>
      </c>
    </row>
    <row r="579" spans="1:10">
      <c r="A579" t="s">
        <v>1161</v>
      </c>
      <c r="B579" t="s">
        <v>1160</v>
      </c>
      <c r="C579" t="s">
        <v>118</v>
      </c>
      <c r="D579" t="str">
        <f t="shared" ref="D579:D642" si="38">A579&amp;B579&amp;C579</f>
        <v>S000580Domaine Philippe Charlopin-Parizot Gevrey-Chambertin Vieilles Vignes2018</v>
      </c>
      <c r="E579">
        <f t="shared" ref="E579:E642" si="39">IF(A579=F579,1,0)</f>
        <v>1</v>
      </c>
      <c r="F579" t="s">
        <v>1161</v>
      </c>
      <c r="G579" t="s">
        <v>1160</v>
      </c>
      <c r="H579" t="s">
        <v>118</v>
      </c>
      <c r="I579" t="str">
        <f t="shared" si="37"/>
        <v>S000580Domaine Philippe Charlopin-Parizot Gevrey-Chambertin Vieilles Vignes2018</v>
      </c>
      <c r="J579">
        <f t="shared" ref="J579:J642" si="40">IF(D579=I579,1,0)</f>
        <v>1</v>
      </c>
    </row>
    <row r="580" spans="1:10">
      <c r="A580" t="s">
        <v>1162</v>
      </c>
      <c r="B580" t="s">
        <v>1160</v>
      </c>
      <c r="C580" t="s">
        <v>30</v>
      </c>
      <c r="D580" t="str">
        <f t="shared" si="38"/>
        <v>S000581Domaine Philippe Charlopin-Parizot Gevrey-Chambertin Vieilles Vignes2022</v>
      </c>
      <c r="E580">
        <f t="shared" si="39"/>
        <v>1</v>
      </c>
      <c r="F580" t="s">
        <v>1162</v>
      </c>
      <c r="G580" t="s">
        <v>1160</v>
      </c>
      <c r="H580" t="s">
        <v>30</v>
      </c>
      <c r="I580" t="str">
        <f t="shared" si="37"/>
        <v>S000581Domaine Philippe Charlopin-Parizot Gevrey-Chambertin Vieilles Vignes2022</v>
      </c>
      <c r="J580">
        <f t="shared" si="40"/>
        <v>1</v>
      </c>
    </row>
    <row r="581" spans="1:10">
      <c r="A581" t="s">
        <v>1163</v>
      </c>
      <c r="B581" t="s">
        <v>1164</v>
      </c>
      <c r="C581" t="s">
        <v>92</v>
      </c>
      <c r="D581" t="str">
        <f t="shared" si="38"/>
        <v>S000582Domaine Philippe Charlopin-Parizot Marsannay Blanc2020</v>
      </c>
      <c r="E581">
        <f t="shared" si="39"/>
        <v>1</v>
      </c>
      <c r="F581" t="s">
        <v>1163</v>
      </c>
      <c r="G581" t="s">
        <v>1164</v>
      </c>
      <c r="H581" t="s">
        <v>92</v>
      </c>
      <c r="I581" t="str">
        <f t="shared" si="37"/>
        <v>S000582Domaine Philippe Charlopin-Parizot Marsannay Blanc2020</v>
      </c>
      <c r="J581">
        <f t="shared" si="40"/>
        <v>1</v>
      </c>
    </row>
    <row r="582" spans="1:10">
      <c r="A582" t="s">
        <v>1165</v>
      </c>
      <c r="B582" t="s">
        <v>1164</v>
      </c>
      <c r="C582" t="s">
        <v>30</v>
      </c>
      <c r="D582" t="str">
        <f t="shared" si="38"/>
        <v>S000583Domaine Philippe Charlopin-Parizot Marsannay Blanc2022</v>
      </c>
      <c r="E582">
        <f t="shared" si="39"/>
        <v>1</v>
      </c>
      <c r="F582" t="s">
        <v>1165</v>
      </c>
      <c r="G582" t="s">
        <v>1164</v>
      </c>
      <c r="H582" t="s">
        <v>30</v>
      </c>
      <c r="I582" t="str">
        <f t="shared" si="37"/>
        <v>S000583Domaine Philippe Charlopin-Parizot Marsannay Blanc2022</v>
      </c>
      <c r="J582">
        <f t="shared" si="40"/>
        <v>1</v>
      </c>
    </row>
    <row r="583" spans="1:10">
      <c r="A583" t="s">
        <v>1166</v>
      </c>
      <c r="B583" t="s">
        <v>1167</v>
      </c>
      <c r="C583" t="s">
        <v>92</v>
      </c>
      <c r="D583" t="str">
        <f t="shared" si="38"/>
        <v>S000584Domaine Philippe Charlopin-Parizot Marsannay2020</v>
      </c>
      <c r="E583">
        <f t="shared" si="39"/>
        <v>1</v>
      </c>
      <c r="F583" t="s">
        <v>1166</v>
      </c>
      <c r="G583" t="s">
        <v>1167</v>
      </c>
      <c r="H583" t="s">
        <v>92</v>
      </c>
      <c r="I583" t="str">
        <f t="shared" si="37"/>
        <v>S000584Domaine Philippe Charlopin-Parizot Marsannay2020</v>
      </c>
      <c r="J583">
        <f t="shared" si="40"/>
        <v>1</v>
      </c>
    </row>
    <row r="584" spans="1:10">
      <c r="A584" t="s">
        <v>1168</v>
      </c>
      <c r="B584" t="s">
        <v>1167</v>
      </c>
      <c r="C584" t="s">
        <v>30</v>
      </c>
      <c r="D584" t="str">
        <f t="shared" si="38"/>
        <v>S000585Domaine Philippe Charlopin-Parizot Marsannay2022</v>
      </c>
      <c r="E584">
        <f t="shared" si="39"/>
        <v>1</v>
      </c>
      <c r="F584" t="s">
        <v>1168</v>
      </c>
      <c r="G584" t="s">
        <v>1167</v>
      </c>
      <c r="H584" t="s">
        <v>30</v>
      </c>
      <c r="I584" t="str">
        <f t="shared" si="37"/>
        <v>S000585Domaine Philippe Charlopin-Parizot Marsannay2022</v>
      </c>
      <c r="J584">
        <f t="shared" si="40"/>
        <v>1</v>
      </c>
    </row>
    <row r="585" spans="1:10">
      <c r="A585" t="s">
        <v>1169</v>
      </c>
      <c r="B585" t="s">
        <v>1170</v>
      </c>
      <c r="C585" t="s">
        <v>30</v>
      </c>
      <c r="D585" t="str">
        <f t="shared" si="38"/>
        <v>S000586Domaine Philippe Charlopin-Parizot Marsannay 'En Montchevenoy'2022</v>
      </c>
      <c r="E585">
        <f t="shared" si="39"/>
        <v>1</v>
      </c>
      <c r="F585" t="s">
        <v>1169</v>
      </c>
      <c r="G585" t="s">
        <v>1170</v>
      </c>
      <c r="H585" t="s">
        <v>30</v>
      </c>
      <c r="I585" t="str">
        <f t="shared" si="37"/>
        <v>S000586Domaine Philippe Charlopin-Parizot Marsannay 'En Montchevenoy'2022</v>
      </c>
      <c r="J585">
        <f t="shared" si="40"/>
        <v>1</v>
      </c>
    </row>
    <row r="586" spans="1:10">
      <c r="A586" t="s">
        <v>1171</v>
      </c>
      <c r="B586" t="s">
        <v>1172</v>
      </c>
      <c r="C586" t="s">
        <v>30</v>
      </c>
      <c r="D586" t="str">
        <f t="shared" si="38"/>
        <v>S000587Domaine Philippe Charlopin-Parizot Marsannay 'Les Echezots'2022</v>
      </c>
      <c r="E586">
        <f t="shared" si="39"/>
        <v>1</v>
      </c>
      <c r="F586" t="s">
        <v>1171</v>
      </c>
      <c r="G586" t="s">
        <v>1172</v>
      </c>
      <c r="H586" t="s">
        <v>30</v>
      </c>
      <c r="I586" t="str">
        <f t="shared" si="37"/>
        <v>S000587Domaine Philippe Charlopin-Parizot Marsannay 'Les Echezots'2022</v>
      </c>
      <c r="J586">
        <f t="shared" si="40"/>
        <v>1</v>
      </c>
    </row>
    <row r="587" spans="1:10">
      <c r="A587" t="s">
        <v>1173</v>
      </c>
      <c r="B587" t="s">
        <v>1174</v>
      </c>
      <c r="C587" t="s">
        <v>118</v>
      </c>
      <c r="D587" t="str">
        <f t="shared" si="38"/>
        <v>S000588Domaine Philippe Charlopin-Parizot Mazis-Chambertin Grand Cru2018</v>
      </c>
      <c r="E587">
        <f t="shared" si="39"/>
        <v>1</v>
      </c>
      <c r="F587" t="s">
        <v>1173</v>
      </c>
      <c r="G587" t="s">
        <v>1174</v>
      </c>
      <c r="H587" t="s">
        <v>118</v>
      </c>
      <c r="I587" t="str">
        <f t="shared" si="37"/>
        <v>S000588Domaine Philippe Charlopin-Parizot Mazis-Chambertin Grand Cru2018</v>
      </c>
      <c r="J587">
        <f t="shared" si="40"/>
        <v>1</v>
      </c>
    </row>
    <row r="588" spans="1:10">
      <c r="A588" t="s">
        <v>1175</v>
      </c>
      <c r="B588" t="s">
        <v>1174</v>
      </c>
      <c r="C588" t="s">
        <v>92</v>
      </c>
      <c r="D588" t="str">
        <f t="shared" si="38"/>
        <v>S000589Domaine Philippe Charlopin-Parizot Mazis-Chambertin Grand Cru2020</v>
      </c>
      <c r="E588">
        <f t="shared" si="39"/>
        <v>1</v>
      </c>
      <c r="F588" t="s">
        <v>1175</v>
      </c>
      <c r="G588" t="s">
        <v>1174</v>
      </c>
      <c r="H588" t="s">
        <v>92</v>
      </c>
      <c r="I588" t="str">
        <f t="shared" si="37"/>
        <v>S000589Domaine Philippe Charlopin-Parizot Mazis-Chambertin Grand Cru2020</v>
      </c>
      <c r="J588">
        <f t="shared" si="40"/>
        <v>1</v>
      </c>
    </row>
    <row r="589" spans="1:10">
      <c r="A589" t="s">
        <v>1176</v>
      </c>
      <c r="B589" t="s">
        <v>1174</v>
      </c>
      <c r="C589" t="s">
        <v>30</v>
      </c>
      <c r="D589" t="str">
        <f t="shared" si="38"/>
        <v>S000590Domaine Philippe Charlopin-Parizot Mazis-Chambertin Grand Cru2022</v>
      </c>
      <c r="E589">
        <f t="shared" si="39"/>
        <v>1</v>
      </c>
      <c r="F589" t="s">
        <v>1176</v>
      </c>
      <c r="G589" t="s">
        <v>1174</v>
      </c>
      <c r="H589" t="s">
        <v>30</v>
      </c>
      <c r="I589" t="str">
        <f t="shared" si="37"/>
        <v>S000590Domaine Philippe Charlopin-Parizot Mazis-Chambertin Grand Cru2022</v>
      </c>
      <c r="J589">
        <f t="shared" si="40"/>
        <v>1</v>
      </c>
    </row>
    <row r="590" spans="1:10">
      <c r="A590" t="s">
        <v>1177</v>
      </c>
      <c r="B590" t="s">
        <v>1178</v>
      </c>
      <c r="C590" t="s">
        <v>92</v>
      </c>
      <c r="D590" t="str">
        <f t="shared" si="38"/>
        <v>S000591Domaine Philippe Charlopin-Parizot Morey-Saint-Denis2020</v>
      </c>
      <c r="E590">
        <f t="shared" si="39"/>
        <v>1</v>
      </c>
      <c r="F590" t="s">
        <v>1177</v>
      </c>
      <c r="G590" t="s">
        <v>1178</v>
      </c>
      <c r="H590" t="s">
        <v>92</v>
      </c>
      <c r="I590" t="str">
        <f t="shared" si="37"/>
        <v>S000591Domaine Philippe Charlopin-Parizot Morey-Saint-Denis2020</v>
      </c>
      <c r="J590">
        <f t="shared" si="40"/>
        <v>1</v>
      </c>
    </row>
    <row r="591" spans="1:10">
      <c r="A591" t="s">
        <v>1179</v>
      </c>
      <c r="B591" t="s">
        <v>1178</v>
      </c>
      <c r="C591" t="s">
        <v>30</v>
      </c>
      <c r="D591" t="str">
        <f t="shared" si="38"/>
        <v>S000592Domaine Philippe Charlopin-Parizot Morey-Saint-Denis2022</v>
      </c>
      <c r="E591">
        <f t="shared" si="39"/>
        <v>1</v>
      </c>
      <c r="F591" t="s">
        <v>1179</v>
      </c>
      <c r="G591" t="s">
        <v>1178</v>
      </c>
      <c r="H591" t="s">
        <v>30</v>
      </c>
      <c r="I591" t="str">
        <f t="shared" si="37"/>
        <v>S000592Domaine Philippe Charlopin-Parizot Morey-Saint-Denis2022</v>
      </c>
      <c r="J591">
        <f t="shared" si="40"/>
        <v>1</v>
      </c>
    </row>
    <row r="592" spans="1:10">
      <c r="A592" t="s">
        <v>1180</v>
      </c>
      <c r="B592" t="s">
        <v>1181</v>
      </c>
      <c r="C592" t="s">
        <v>30</v>
      </c>
      <c r="D592" t="str">
        <f t="shared" si="38"/>
        <v>S000593Domaine Philippe Charlopin-Parizot Puligny-Montrachet2022</v>
      </c>
      <c r="E592">
        <f t="shared" si="39"/>
        <v>1</v>
      </c>
      <c r="F592" t="s">
        <v>1180</v>
      </c>
      <c r="G592" t="s">
        <v>1181</v>
      </c>
      <c r="H592" t="s">
        <v>30</v>
      </c>
      <c r="I592" t="str">
        <f t="shared" si="37"/>
        <v>S000593Domaine Philippe Charlopin-Parizot Puligny-Montrachet2022</v>
      </c>
      <c r="J592">
        <f t="shared" si="40"/>
        <v>1</v>
      </c>
    </row>
    <row r="593" spans="1:10">
      <c r="A593" t="s">
        <v>1182</v>
      </c>
      <c r="B593" t="s">
        <v>1183</v>
      </c>
      <c r="C593" t="s">
        <v>92</v>
      </c>
      <c r="D593" t="str">
        <f t="shared" si="38"/>
        <v>S000594Domaine Philippe Charlopin-Parizot Vosne-Romanée2020</v>
      </c>
      <c r="E593">
        <f t="shared" si="39"/>
        <v>1</v>
      </c>
      <c r="F593" t="s">
        <v>1182</v>
      </c>
      <c r="G593" t="s">
        <v>1183</v>
      </c>
      <c r="H593" t="s">
        <v>92</v>
      </c>
      <c r="I593" t="str">
        <f t="shared" si="37"/>
        <v>S000594Domaine Philippe Charlopin-Parizot Vosne-Romanée2020</v>
      </c>
      <c r="J593">
        <f t="shared" si="40"/>
        <v>1</v>
      </c>
    </row>
    <row r="594" spans="1:10">
      <c r="A594" t="s">
        <v>1184</v>
      </c>
      <c r="B594" t="s">
        <v>1183</v>
      </c>
      <c r="C594" t="s">
        <v>30</v>
      </c>
      <c r="D594" t="str">
        <f t="shared" si="38"/>
        <v>S000595Domaine Philippe Charlopin-Parizot Vosne-Romanée2022</v>
      </c>
      <c r="E594">
        <f t="shared" si="39"/>
        <v>1</v>
      </c>
      <c r="F594" t="s">
        <v>1184</v>
      </c>
      <c r="G594" t="s">
        <v>1183</v>
      </c>
      <c r="H594" t="s">
        <v>30</v>
      </c>
      <c r="I594" t="str">
        <f t="shared" si="37"/>
        <v>S000595Domaine Philippe Charlopin-Parizot Vosne-Romanée2022</v>
      </c>
      <c r="J594">
        <f t="shared" si="40"/>
        <v>1</v>
      </c>
    </row>
    <row r="595" spans="1:10">
      <c r="A595" t="s">
        <v>1185</v>
      </c>
      <c r="B595" t="s">
        <v>1186</v>
      </c>
      <c r="C595" t="s">
        <v>30</v>
      </c>
      <c r="D595" t="str">
        <f t="shared" si="38"/>
        <v>S000596Domaine Philippe Charlopin-Parizot Vosne-Romanée 'En Orveaux' Premier Cru2022</v>
      </c>
      <c r="E595">
        <f t="shared" si="39"/>
        <v>1</v>
      </c>
      <c r="F595" t="s">
        <v>1185</v>
      </c>
      <c r="G595" t="s">
        <v>1186</v>
      </c>
      <c r="H595" t="s">
        <v>30</v>
      </c>
      <c r="I595" t="str">
        <f t="shared" si="37"/>
        <v>S000596Domaine Philippe Charlopin-Parizot Vosne-Romanée 'En Orveaux' Premier Cru2022</v>
      </c>
      <c r="J595">
        <f t="shared" si="40"/>
        <v>1</v>
      </c>
    </row>
    <row r="596" spans="1:10">
      <c r="A596" t="s">
        <v>1187</v>
      </c>
      <c r="B596" t="s">
        <v>1188</v>
      </c>
      <c r="C596" t="s">
        <v>172</v>
      </c>
      <c r="D596" t="str">
        <f t="shared" si="38"/>
        <v>S000597Philippe Pacalet Echézeaux Grand Cru2012</v>
      </c>
      <c r="E596">
        <f t="shared" si="39"/>
        <v>1</v>
      </c>
      <c r="F596" t="s">
        <v>1187</v>
      </c>
      <c r="G596" t="s">
        <v>1188</v>
      </c>
      <c r="H596" t="s">
        <v>172</v>
      </c>
      <c r="I596" t="str">
        <f t="shared" si="37"/>
        <v>S000597Philippe Pacalet Echézeaux Grand Cru2012</v>
      </c>
      <c r="J596">
        <f t="shared" si="40"/>
        <v>1</v>
      </c>
    </row>
    <row r="597" spans="1:10">
      <c r="A597" t="s">
        <v>1189</v>
      </c>
      <c r="B597" t="s">
        <v>1188</v>
      </c>
      <c r="C597" t="s">
        <v>114</v>
      </c>
      <c r="D597" t="str">
        <f t="shared" si="38"/>
        <v>S000598Philippe Pacalet Echézeaux Grand Cru2014</v>
      </c>
      <c r="E597">
        <f t="shared" si="39"/>
        <v>1</v>
      </c>
      <c r="F597" t="s">
        <v>1189</v>
      </c>
      <c r="G597" t="s">
        <v>1188</v>
      </c>
      <c r="H597" t="s">
        <v>114</v>
      </c>
      <c r="I597" t="str">
        <f t="shared" si="37"/>
        <v>S000598Philippe Pacalet Echézeaux Grand Cru2014</v>
      </c>
      <c r="J597">
        <f t="shared" si="40"/>
        <v>1</v>
      </c>
    </row>
    <row r="598" spans="1:10">
      <c r="A598" t="s">
        <v>1190</v>
      </c>
      <c r="B598" t="s">
        <v>1191</v>
      </c>
      <c r="C598" t="s">
        <v>81</v>
      </c>
      <c r="D598" t="str">
        <f t="shared" si="38"/>
        <v>S000599Philippe Pacalet Gevrey-Chambertin2019</v>
      </c>
      <c r="E598">
        <f t="shared" si="39"/>
        <v>1</v>
      </c>
      <c r="F598" t="s">
        <v>1190</v>
      </c>
      <c r="G598" t="s">
        <v>1191</v>
      </c>
      <c r="H598" t="s">
        <v>81</v>
      </c>
      <c r="I598" t="str">
        <f t="shared" si="37"/>
        <v>S000599Philippe Pacalet Gevrey-Chambertin2019</v>
      </c>
      <c r="J598">
        <f t="shared" si="40"/>
        <v>1</v>
      </c>
    </row>
    <row r="599" spans="1:10">
      <c r="A599" t="s">
        <v>1192</v>
      </c>
      <c r="B599" t="s">
        <v>1193</v>
      </c>
      <c r="C599" t="s">
        <v>81</v>
      </c>
      <c r="D599" t="str">
        <f t="shared" si="38"/>
        <v>S000600Philippe Pacalet Ladoix2019</v>
      </c>
      <c r="E599">
        <f t="shared" si="39"/>
        <v>1</v>
      </c>
      <c r="F599" t="s">
        <v>1192</v>
      </c>
      <c r="G599" t="s">
        <v>1193</v>
      </c>
      <c r="H599" t="s">
        <v>81</v>
      </c>
      <c r="I599" t="str">
        <f t="shared" si="37"/>
        <v>S000600Philippe Pacalet Ladoix2019</v>
      </c>
      <c r="J599">
        <f t="shared" si="40"/>
        <v>1</v>
      </c>
    </row>
    <row r="600" spans="1:10">
      <c r="A600" t="s">
        <v>1194</v>
      </c>
      <c r="B600" t="s">
        <v>1195</v>
      </c>
      <c r="C600" t="s">
        <v>81</v>
      </c>
      <c r="D600" t="str">
        <f t="shared" si="38"/>
        <v>S000601Château Pichon Longueville Comtesse de Lalande 'Pichon Comtesse Réserve' Pauillac2019</v>
      </c>
      <c r="E600">
        <f t="shared" si="39"/>
        <v>1</v>
      </c>
      <c r="F600" t="s">
        <v>1194</v>
      </c>
      <c r="G600" t="s">
        <v>1195</v>
      </c>
      <c r="H600" t="s">
        <v>81</v>
      </c>
      <c r="I600" t="str">
        <f t="shared" si="37"/>
        <v>S000601Château Pichon Longueville Comtesse de Lalande 'Pichon Comtesse Réserve' Pauillac2019</v>
      </c>
      <c r="J600">
        <f t="shared" si="40"/>
        <v>1</v>
      </c>
    </row>
    <row r="601" spans="1:10">
      <c r="A601" t="s">
        <v>1196</v>
      </c>
      <c r="B601" t="s">
        <v>1197</v>
      </c>
      <c r="C601" t="s">
        <v>346</v>
      </c>
      <c r="D601" t="str">
        <f t="shared" si="38"/>
        <v>S000602Château Pichon Longueville Comtesse de Lalande Pauillac Deuxième Grand Cru Classé2004</v>
      </c>
      <c r="E601">
        <f t="shared" si="39"/>
        <v>1</v>
      </c>
      <c r="F601" t="s">
        <v>1196</v>
      </c>
      <c r="G601" t="s">
        <v>1197</v>
      </c>
      <c r="H601" t="s">
        <v>346</v>
      </c>
      <c r="I601" t="str">
        <f t="shared" si="37"/>
        <v>S000602Château Pichon Longueville Comtesse de Lalande Pauillac Deuxième Grand Cru Classé2004</v>
      </c>
      <c r="J601">
        <f t="shared" si="40"/>
        <v>1</v>
      </c>
    </row>
    <row r="602" spans="1:10">
      <c r="A602" t="s">
        <v>1198</v>
      </c>
      <c r="B602" t="s">
        <v>1197</v>
      </c>
      <c r="C602" t="s">
        <v>125</v>
      </c>
      <c r="D602" t="str">
        <f t="shared" si="38"/>
        <v>S000603Château Pichon Longueville Comtesse de Lalande Pauillac Deuxième Grand Cru Classé2008</v>
      </c>
      <c r="E602">
        <f t="shared" si="39"/>
        <v>1</v>
      </c>
      <c r="F602" t="s">
        <v>1198</v>
      </c>
      <c r="G602" t="s">
        <v>1197</v>
      </c>
      <c r="H602" t="s">
        <v>125</v>
      </c>
      <c r="I602" t="str">
        <f t="shared" si="37"/>
        <v>S000603Château Pichon Longueville Comtesse de Lalande Pauillac Deuxième Grand Cru Classé2008</v>
      </c>
      <c r="J602">
        <f t="shared" si="40"/>
        <v>1</v>
      </c>
    </row>
    <row r="603" spans="1:10">
      <c r="A603" t="s">
        <v>1199</v>
      </c>
      <c r="B603" t="s">
        <v>1197</v>
      </c>
      <c r="C603" t="s">
        <v>114</v>
      </c>
      <c r="D603" t="str">
        <f t="shared" si="38"/>
        <v>S000604Château Pichon Longueville Comtesse de Lalande Pauillac Deuxième Grand Cru Classé2014</v>
      </c>
      <c r="E603">
        <f t="shared" si="39"/>
        <v>1</v>
      </c>
      <c r="F603" t="s">
        <v>1199</v>
      </c>
      <c r="G603" t="s">
        <v>1197</v>
      </c>
      <c r="H603" t="s">
        <v>114</v>
      </c>
      <c r="I603" t="str">
        <f t="shared" si="37"/>
        <v>S000604Château Pichon Longueville Comtesse de Lalande Pauillac Deuxième Grand Cru Classé2014</v>
      </c>
      <c r="J603">
        <f t="shared" si="40"/>
        <v>1</v>
      </c>
    </row>
    <row r="604" spans="1:10">
      <c r="A604" t="s">
        <v>1200</v>
      </c>
      <c r="B604" t="s">
        <v>1201</v>
      </c>
      <c r="C604" t="s">
        <v>81</v>
      </c>
      <c r="D604" t="str">
        <f t="shared" si="38"/>
        <v>S000605Domaine Boisson-Vadot 'Pierre Boisson' Meursault 'Les Grands Charrons'2019</v>
      </c>
      <c r="E604">
        <f t="shared" si="39"/>
        <v>1</v>
      </c>
      <c r="F604" t="s">
        <v>1200</v>
      </c>
      <c r="G604" t="s">
        <v>1201</v>
      </c>
      <c r="H604" t="s">
        <v>81</v>
      </c>
      <c r="I604" t="str">
        <f t="shared" si="37"/>
        <v>S000605Domaine Boisson-Vadot 'Pierre Boisson' Meursault 'Les Grands Charrons'2019</v>
      </c>
      <c r="J604">
        <f t="shared" si="40"/>
        <v>1</v>
      </c>
    </row>
    <row r="605" spans="1:10">
      <c r="A605" t="s">
        <v>1202</v>
      </c>
      <c r="B605" t="s">
        <v>1203</v>
      </c>
      <c r="C605" t="s">
        <v>30</v>
      </c>
      <c r="D605" t="str">
        <f t="shared" si="38"/>
        <v>S000606Domaine Boisson-Vadot 'Pierre Boisson' Meursault 'Les Perchots'2022</v>
      </c>
      <c r="E605">
        <f t="shared" si="39"/>
        <v>1</v>
      </c>
      <c r="F605" t="s">
        <v>1202</v>
      </c>
      <c r="G605" t="s">
        <v>1203</v>
      </c>
      <c r="H605" t="s">
        <v>30</v>
      </c>
      <c r="I605" t="str">
        <f t="shared" si="37"/>
        <v>S000606Domaine Boisson-Vadot 'Pierre Boisson' Meursault 'Les Perchots'2022</v>
      </c>
      <c r="J605">
        <f t="shared" si="40"/>
        <v>1</v>
      </c>
    </row>
    <row r="606" spans="1:10">
      <c r="A606" t="s">
        <v>1204</v>
      </c>
      <c r="B606" t="s">
        <v>1205</v>
      </c>
      <c r="C606" t="s">
        <v>56</v>
      </c>
      <c r="D606" t="str">
        <f t="shared" si="38"/>
        <v>S000607Domaine Pierre de Crillon Corton-Charlemagne Grand Cru2021</v>
      </c>
      <c r="E606">
        <f t="shared" si="39"/>
        <v>1</v>
      </c>
      <c r="F606" t="s">
        <v>1204</v>
      </c>
      <c r="G606" t="s">
        <v>1205</v>
      </c>
      <c r="H606" t="s">
        <v>56</v>
      </c>
      <c r="I606" t="str">
        <f t="shared" si="37"/>
        <v>S000607Domaine Pierre de Crillon Corton-Charlemagne Grand Cru2021</v>
      </c>
      <c r="J606">
        <f t="shared" si="40"/>
        <v>1</v>
      </c>
    </row>
    <row r="607" spans="1:10">
      <c r="A607" t="s">
        <v>1206</v>
      </c>
      <c r="B607" t="s">
        <v>1207</v>
      </c>
      <c r="C607" t="s">
        <v>111</v>
      </c>
      <c r="D607" t="str">
        <f t="shared" si="38"/>
        <v>S000608Domaine Pierre Damoy Chambertin Grand Cru2013</v>
      </c>
      <c r="E607">
        <f t="shared" si="39"/>
        <v>1</v>
      </c>
      <c r="F607" t="s">
        <v>1206</v>
      </c>
      <c r="G607" t="s">
        <v>1207</v>
      </c>
      <c r="H607" t="s">
        <v>111</v>
      </c>
      <c r="I607" t="str">
        <f t="shared" si="37"/>
        <v>S000608Domaine Pierre Damoy Chambertin Grand Cru2013</v>
      </c>
      <c r="J607">
        <f t="shared" si="40"/>
        <v>1</v>
      </c>
    </row>
    <row r="608" spans="1:10">
      <c r="A608" t="s">
        <v>1208</v>
      </c>
      <c r="B608" t="s">
        <v>1209</v>
      </c>
      <c r="C608" t="s">
        <v>172</v>
      </c>
      <c r="D608" t="str">
        <f t="shared" si="38"/>
        <v>S000609Domaine Pierre Damoy Gevrey-Chambertin 'Clos Tamisot'2012</v>
      </c>
      <c r="E608">
        <f t="shared" si="39"/>
        <v>1</v>
      </c>
      <c r="F608" t="s">
        <v>1208</v>
      </c>
      <c r="G608" t="s">
        <v>1209</v>
      </c>
      <c r="H608" t="s">
        <v>172</v>
      </c>
      <c r="I608" t="str">
        <f t="shared" si="37"/>
        <v>S000609Domaine Pierre Damoy Gevrey-Chambertin 'Clos Tamisot'2012</v>
      </c>
      <c r="J608">
        <f t="shared" si="40"/>
        <v>1</v>
      </c>
    </row>
    <row r="609" spans="1:10">
      <c r="A609" t="s">
        <v>1210</v>
      </c>
      <c r="B609" t="s">
        <v>1211</v>
      </c>
      <c r="C609" t="s">
        <v>92</v>
      </c>
      <c r="D609" t="str">
        <f t="shared" si="38"/>
        <v>S000610Domaine Pierre Gelin Fixin2020</v>
      </c>
      <c r="E609">
        <f t="shared" si="39"/>
        <v>1</v>
      </c>
      <c r="F609" t="s">
        <v>1210</v>
      </c>
      <c r="G609" t="s">
        <v>1211</v>
      </c>
      <c r="H609" t="s">
        <v>92</v>
      </c>
      <c r="I609" t="str">
        <f t="shared" si="37"/>
        <v>S000610Domaine Pierre Gelin Fixin2020</v>
      </c>
      <c r="J609">
        <f t="shared" si="40"/>
        <v>1</v>
      </c>
    </row>
    <row r="610" spans="1:10">
      <c r="A610" t="s">
        <v>1212</v>
      </c>
      <c r="B610" t="s">
        <v>1213</v>
      </c>
      <c r="C610" t="s">
        <v>92</v>
      </c>
      <c r="D610" t="str">
        <f t="shared" si="38"/>
        <v>S000611Domaine Pierre Gelin Fixin 'Clos Napoleon' Monopole2020</v>
      </c>
      <c r="E610">
        <f t="shared" si="39"/>
        <v>1</v>
      </c>
      <c r="F610" t="s">
        <v>1212</v>
      </c>
      <c r="G610" t="s">
        <v>1213</v>
      </c>
      <c r="H610" t="s">
        <v>92</v>
      </c>
      <c r="I610" t="str">
        <f t="shared" si="37"/>
        <v>S000611Domaine Pierre Gelin Fixin 'Clos Napoleon' Monopole2020</v>
      </c>
      <c r="J610">
        <f t="shared" si="40"/>
        <v>1</v>
      </c>
    </row>
    <row r="611" spans="1:10">
      <c r="A611" t="s">
        <v>1214</v>
      </c>
      <c r="B611" t="s">
        <v>1215</v>
      </c>
      <c r="C611" t="s">
        <v>92</v>
      </c>
      <c r="D611" t="str">
        <f t="shared" si="38"/>
        <v>S000612Pierre Girardin Clos de Vougeot Grand Cru2020</v>
      </c>
      <c r="E611">
        <f t="shared" si="39"/>
        <v>1</v>
      </c>
      <c r="F611" t="s">
        <v>1214</v>
      </c>
      <c r="G611" t="s">
        <v>1215</v>
      </c>
      <c r="H611" t="s">
        <v>92</v>
      </c>
      <c r="I611" t="str">
        <f t="shared" si="37"/>
        <v>S000612Pierre Girardin Clos de Vougeot Grand Cru2020</v>
      </c>
      <c r="J611">
        <f t="shared" si="40"/>
        <v>1</v>
      </c>
    </row>
    <row r="612" spans="1:10">
      <c r="A612" t="s">
        <v>1216</v>
      </c>
      <c r="B612" t="s">
        <v>1217</v>
      </c>
      <c r="C612" t="s">
        <v>92</v>
      </c>
      <c r="D612" t="str">
        <f t="shared" si="38"/>
        <v>S000613Pierre Girardin Echézeaux Grand Cru2020</v>
      </c>
      <c r="E612">
        <f t="shared" si="39"/>
        <v>1</v>
      </c>
      <c r="F612" t="s">
        <v>1216</v>
      </c>
      <c r="G612" t="s">
        <v>1217</v>
      </c>
      <c r="H612" t="s">
        <v>92</v>
      </c>
      <c r="I612" t="str">
        <f t="shared" si="37"/>
        <v>S000613Pierre Girardin Echézeaux Grand Cru2020</v>
      </c>
      <c r="J612">
        <f t="shared" si="40"/>
        <v>1</v>
      </c>
    </row>
    <row r="613" spans="1:10">
      <c r="A613" t="s">
        <v>1218</v>
      </c>
      <c r="B613" t="s">
        <v>1219</v>
      </c>
      <c r="C613" t="s">
        <v>92</v>
      </c>
      <c r="D613" t="str">
        <f t="shared" si="38"/>
        <v>S000614Pierre Girardin Griotte-Chambertin Grand Cru2020</v>
      </c>
      <c r="E613">
        <f t="shared" si="39"/>
        <v>1</v>
      </c>
      <c r="F613" t="s">
        <v>1218</v>
      </c>
      <c r="G613" t="s">
        <v>1219</v>
      </c>
      <c r="H613" t="s">
        <v>92</v>
      </c>
      <c r="I613" t="str">
        <f t="shared" si="37"/>
        <v>S000614Pierre Girardin Griotte-Chambertin Grand Cru2020</v>
      </c>
      <c r="J613">
        <f t="shared" si="40"/>
        <v>1</v>
      </c>
    </row>
    <row r="614" spans="1:10">
      <c r="A614" t="s">
        <v>1220</v>
      </c>
      <c r="B614" t="s">
        <v>1221</v>
      </c>
      <c r="C614" t="s">
        <v>92</v>
      </c>
      <c r="D614" t="str">
        <f t="shared" si="38"/>
        <v>S000615Pierre Girardin Meursault 'Les Casse-Tetes'2020</v>
      </c>
      <c r="E614">
        <f t="shared" si="39"/>
        <v>1</v>
      </c>
      <c r="F614" t="s">
        <v>1220</v>
      </c>
      <c r="G614" t="s">
        <v>1221</v>
      </c>
      <c r="H614" t="s">
        <v>92</v>
      </c>
      <c r="I614" t="str">
        <f t="shared" si="37"/>
        <v>S000615Pierre Girardin Meursault 'Les Casse-Tetes'2020</v>
      </c>
      <c r="J614">
        <f t="shared" si="40"/>
        <v>1</v>
      </c>
    </row>
    <row r="615" spans="1:10">
      <c r="A615" t="s">
        <v>1222</v>
      </c>
      <c r="B615" t="s">
        <v>1223</v>
      </c>
      <c r="C615" t="s">
        <v>92</v>
      </c>
      <c r="D615" t="str">
        <f t="shared" si="38"/>
        <v>S000616Pierre Girardin Meursault 'Les Narvaux'2020</v>
      </c>
      <c r="E615">
        <f t="shared" si="39"/>
        <v>1</v>
      </c>
      <c r="F615" t="s">
        <v>1222</v>
      </c>
      <c r="G615" t="s">
        <v>1223</v>
      </c>
      <c r="H615" t="s">
        <v>92</v>
      </c>
      <c r="I615" t="str">
        <f t="shared" si="37"/>
        <v>S000616Pierre Girardin Meursault 'Les Narvaux'2020</v>
      </c>
      <c r="J615">
        <f t="shared" si="40"/>
        <v>1</v>
      </c>
    </row>
    <row r="616" spans="1:10">
      <c r="A616" t="s">
        <v>1224</v>
      </c>
      <c r="B616" t="s">
        <v>1225</v>
      </c>
      <c r="C616" t="s">
        <v>92</v>
      </c>
      <c r="D616" t="str">
        <f t="shared" si="38"/>
        <v>S000617Pierre Girardin Pommard 'Les Grands Epenots' Premier Cru2020</v>
      </c>
      <c r="E616">
        <f t="shared" si="39"/>
        <v>1</v>
      </c>
      <c r="F616" t="s">
        <v>1224</v>
      </c>
      <c r="G616" t="s">
        <v>1225</v>
      </c>
      <c r="H616" t="s">
        <v>92</v>
      </c>
      <c r="I616" t="str">
        <f t="shared" si="37"/>
        <v>S000617Pierre Girardin Pommard 'Les Grands Epenots' Premier Cru2020</v>
      </c>
      <c r="J616">
        <f t="shared" si="40"/>
        <v>1</v>
      </c>
    </row>
    <row r="617" spans="1:10">
      <c r="A617" t="s">
        <v>1226</v>
      </c>
      <c r="B617" t="s">
        <v>1227</v>
      </c>
      <c r="C617" t="s">
        <v>125</v>
      </c>
      <c r="D617" t="str">
        <f t="shared" si="38"/>
        <v>S000618Pierre Moncuit 'Nicole Moncuit' Vieilles Vignes Blanc de Blancs Grand Cru Brut Millesime2008</v>
      </c>
      <c r="E617">
        <f t="shared" si="39"/>
        <v>1</v>
      </c>
      <c r="F617" t="s">
        <v>1226</v>
      </c>
      <c r="G617" t="s">
        <v>1227</v>
      </c>
      <c r="H617" t="s">
        <v>125</v>
      </c>
      <c r="I617" t="str">
        <f t="shared" si="37"/>
        <v>S000618Pierre Moncuit 'Nicole Moncuit' Vieilles Vignes Blanc de Blancs Grand Cru Brut Millesime2008</v>
      </c>
      <c r="J617">
        <f t="shared" si="40"/>
        <v>1</v>
      </c>
    </row>
    <row r="618" spans="1:10">
      <c r="A618" t="s">
        <v>1228</v>
      </c>
      <c r="B618" t="s">
        <v>1227</v>
      </c>
      <c r="C618" t="s">
        <v>125</v>
      </c>
      <c r="D618" t="str">
        <f t="shared" si="38"/>
        <v>S000619Pierre Moncuit 'Nicole Moncuit' Vieilles Vignes Blanc de Blancs Grand Cru Brut Millesime2008</v>
      </c>
      <c r="E618">
        <f t="shared" si="39"/>
        <v>1</v>
      </c>
      <c r="F618" t="s">
        <v>1228</v>
      </c>
      <c r="G618" t="s">
        <v>1227</v>
      </c>
      <c r="H618" t="s">
        <v>125</v>
      </c>
      <c r="I618" t="str">
        <f t="shared" si="37"/>
        <v>S000619Pierre Moncuit 'Nicole Moncuit' Vieilles Vignes Blanc de Blancs Grand Cru Brut Millesime2008</v>
      </c>
      <c r="J618">
        <f t="shared" si="40"/>
        <v>1</v>
      </c>
    </row>
    <row r="619" spans="1:10">
      <c r="A619" t="s">
        <v>1229</v>
      </c>
      <c r="B619" t="s">
        <v>1230</v>
      </c>
      <c r="C619" t="s">
        <v>56</v>
      </c>
      <c r="D619" t="str">
        <f t="shared" si="38"/>
        <v>S000620Pierrick Bouley Bourgogne Cote d'Or Pinot Noir2021</v>
      </c>
      <c r="E619">
        <f t="shared" si="39"/>
        <v>1</v>
      </c>
      <c r="F619" t="s">
        <v>1229</v>
      </c>
      <c r="G619" t="s">
        <v>1230</v>
      </c>
      <c r="H619" t="s">
        <v>56</v>
      </c>
      <c r="I619" t="str">
        <f t="shared" si="37"/>
        <v>S000620Pierrick Bouley Bourgogne Cote d'Or Pinot Noir2021</v>
      </c>
      <c r="J619">
        <f t="shared" si="40"/>
        <v>1</v>
      </c>
    </row>
    <row r="620" spans="1:10">
      <c r="A620" t="s">
        <v>1231</v>
      </c>
      <c r="B620" t="s">
        <v>1232</v>
      </c>
      <c r="C620" t="s">
        <v>56</v>
      </c>
      <c r="D620" t="str">
        <f t="shared" si="38"/>
        <v>S000621Pierrick Bouley Monthelie 'Aux Fournereaux'2021</v>
      </c>
      <c r="E620">
        <f t="shared" si="39"/>
        <v>1</v>
      </c>
      <c r="F620" t="s">
        <v>1231</v>
      </c>
      <c r="G620" t="s">
        <v>1232</v>
      </c>
      <c r="H620" t="s">
        <v>56</v>
      </c>
      <c r="I620" t="str">
        <f t="shared" si="37"/>
        <v>S000621Pierrick Bouley Monthelie 'Aux Fournereaux'2021</v>
      </c>
      <c r="J620">
        <f t="shared" si="40"/>
        <v>1</v>
      </c>
    </row>
    <row r="621" spans="1:10">
      <c r="A621" t="s">
        <v>1233</v>
      </c>
      <c r="B621" t="s">
        <v>1234</v>
      </c>
      <c r="C621" t="s">
        <v>56</v>
      </c>
      <c r="D621" t="str">
        <f t="shared" si="38"/>
        <v>S000622Pierrick Bouley Volnay2021</v>
      </c>
      <c r="E621">
        <f t="shared" si="39"/>
        <v>1</v>
      </c>
      <c r="F621" t="s">
        <v>1233</v>
      </c>
      <c r="G621" t="s">
        <v>1234</v>
      </c>
      <c r="H621" t="s">
        <v>56</v>
      </c>
      <c r="I621" t="str">
        <f t="shared" si="37"/>
        <v>S000622Pierrick Bouley Volnay2021</v>
      </c>
      <c r="J621">
        <f t="shared" si="40"/>
        <v>1</v>
      </c>
    </row>
    <row r="622" spans="1:10">
      <c r="A622" t="s">
        <v>1235</v>
      </c>
      <c r="B622" t="s">
        <v>1236</v>
      </c>
      <c r="C622" t="s">
        <v>56</v>
      </c>
      <c r="D622" t="str">
        <f t="shared" si="38"/>
        <v>S000623Pierrick Bouley Volnay 'Les Champans' Premier Cru2021</v>
      </c>
      <c r="E622">
        <f t="shared" si="39"/>
        <v>1</v>
      </c>
      <c r="F622" t="s">
        <v>1235</v>
      </c>
      <c r="G622" t="s">
        <v>1236</v>
      </c>
      <c r="H622" t="s">
        <v>56</v>
      </c>
      <c r="I622" t="str">
        <f t="shared" si="37"/>
        <v>S000623Pierrick Bouley Volnay 'Les Champans' Premier Cru2021</v>
      </c>
      <c r="J622">
        <f t="shared" si="40"/>
        <v>1</v>
      </c>
    </row>
    <row r="623" spans="1:10">
      <c r="A623" t="s">
        <v>1237</v>
      </c>
      <c r="B623" t="s">
        <v>1238</v>
      </c>
      <c r="C623" t="s">
        <v>56</v>
      </c>
      <c r="D623" t="str">
        <f t="shared" si="38"/>
        <v>S000624Pierrick Bouley Volnay 'Clos des Chenes' Premier Cru2021</v>
      </c>
      <c r="E623">
        <f t="shared" si="39"/>
        <v>1</v>
      </c>
      <c r="F623" t="s">
        <v>1237</v>
      </c>
      <c r="G623" t="s">
        <v>1238</v>
      </c>
      <c r="H623" t="s">
        <v>56</v>
      </c>
      <c r="I623" t="str">
        <f t="shared" si="37"/>
        <v>S000624Pierrick Bouley Volnay 'Clos des Chenes' Premier Cru2021</v>
      </c>
      <c r="J623">
        <f t="shared" si="40"/>
        <v>1</v>
      </c>
    </row>
    <row r="624" spans="1:10">
      <c r="A624" t="s">
        <v>1239</v>
      </c>
      <c r="B624" t="s">
        <v>1236</v>
      </c>
      <c r="C624" t="s">
        <v>56</v>
      </c>
      <c r="D624" t="str">
        <f t="shared" si="38"/>
        <v>S000625Pierrick Bouley Volnay 'Les Champans' Premier Cru2021</v>
      </c>
      <c r="E624">
        <f t="shared" si="39"/>
        <v>1</v>
      </c>
      <c r="F624" t="s">
        <v>1239</v>
      </c>
      <c r="G624" t="s">
        <v>1236</v>
      </c>
      <c r="H624" t="s">
        <v>56</v>
      </c>
      <c r="I624" t="str">
        <f t="shared" si="37"/>
        <v>S000625Pierrick Bouley Volnay 'Les Champans' Premier Cru2021</v>
      </c>
      <c r="J624">
        <f t="shared" si="40"/>
        <v>1</v>
      </c>
    </row>
    <row r="625" spans="1:10">
      <c r="A625" t="s">
        <v>1240</v>
      </c>
      <c r="B625" t="s">
        <v>1241</v>
      </c>
      <c r="C625" t="s">
        <v>56</v>
      </c>
      <c r="D625" t="str">
        <f t="shared" si="38"/>
        <v>S000626Pierrick Bouley Volnay 'Les Pluchots'2021</v>
      </c>
      <c r="E625">
        <f t="shared" si="39"/>
        <v>1</v>
      </c>
      <c r="F625" t="s">
        <v>1240</v>
      </c>
      <c r="G625" t="s">
        <v>1241</v>
      </c>
      <c r="H625" t="s">
        <v>56</v>
      </c>
      <c r="I625" t="str">
        <f t="shared" si="37"/>
        <v>S000626Pierrick Bouley Volnay 'Les Pluchots'2021</v>
      </c>
      <c r="J625">
        <f t="shared" si="40"/>
        <v>1</v>
      </c>
    </row>
    <row r="626" spans="1:10">
      <c r="A626" t="s">
        <v>1242</v>
      </c>
      <c r="B626" t="s">
        <v>1243</v>
      </c>
      <c r="C626" t="s">
        <v>1102</v>
      </c>
      <c r="D626" t="str">
        <f t="shared" si="38"/>
        <v>S000627Château Pontet-Canet Pauillac Cinquième Grand Cru Classé1995</v>
      </c>
      <c r="E626">
        <f t="shared" si="39"/>
        <v>1</v>
      </c>
      <c r="F626" t="s">
        <v>1242</v>
      </c>
      <c r="G626" t="s">
        <v>1243</v>
      </c>
      <c r="H626" t="s">
        <v>1102</v>
      </c>
      <c r="I626" t="str">
        <f t="shared" si="37"/>
        <v>S000627Château Pontet-Canet Pauillac Cinquième Grand Cru Classé1995</v>
      </c>
      <c r="J626">
        <f t="shared" si="40"/>
        <v>1</v>
      </c>
    </row>
    <row r="627" spans="1:10">
      <c r="A627" t="s">
        <v>1244</v>
      </c>
      <c r="B627" t="s">
        <v>1243</v>
      </c>
      <c r="C627" t="s">
        <v>125</v>
      </c>
      <c r="D627" t="str">
        <f t="shared" si="38"/>
        <v>S000628Château Pontet-Canet Pauillac Cinquième Grand Cru Classé2008</v>
      </c>
      <c r="E627">
        <f t="shared" si="39"/>
        <v>1</v>
      </c>
      <c r="F627" t="s">
        <v>1244</v>
      </c>
      <c r="G627" t="s">
        <v>1243</v>
      </c>
      <c r="H627" t="s">
        <v>125</v>
      </c>
      <c r="I627" t="str">
        <f t="shared" si="37"/>
        <v>S000628Château Pontet-Canet Pauillac Cinquième Grand Cru Classé2008</v>
      </c>
      <c r="J627">
        <f t="shared" si="40"/>
        <v>1</v>
      </c>
    </row>
    <row r="628" spans="1:10">
      <c r="A628" t="s">
        <v>1245</v>
      </c>
      <c r="B628" t="s">
        <v>1246</v>
      </c>
      <c r="C628" t="s">
        <v>125</v>
      </c>
      <c r="D628" t="str">
        <f t="shared" si="38"/>
        <v>S000629Château Pouget Margaux Quatrième Grand Cru Classé2008</v>
      </c>
      <c r="E628">
        <f t="shared" si="39"/>
        <v>1</v>
      </c>
      <c r="F628" t="s">
        <v>1245</v>
      </c>
      <c r="G628" t="s">
        <v>1246</v>
      </c>
      <c r="H628" t="s">
        <v>125</v>
      </c>
      <c r="I628" t="str">
        <f t="shared" si="37"/>
        <v>S000629Château Pouget Margaux Quatrième Grand Cru Classé2008</v>
      </c>
      <c r="J628">
        <f t="shared" si="40"/>
        <v>1</v>
      </c>
    </row>
    <row r="629" spans="1:10">
      <c r="A629" t="s">
        <v>1247</v>
      </c>
      <c r="B629" t="s">
        <v>1248</v>
      </c>
      <c r="C629" t="s">
        <v>118</v>
      </c>
      <c r="D629" t="str">
        <f t="shared" si="38"/>
        <v>S000630Château Poujeaux Moulis-en-Médoc2018</v>
      </c>
      <c r="E629">
        <f t="shared" si="39"/>
        <v>1</v>
      </c>
      <c r="F629" t="s">
        <v>1247</v>
      </c>
      <c r="G629" t="s">
        <v>1248</v>
      </c>
      <c r="H629" t="s">
        <v>118</v>
      </c>
      <c r="I629" t="str">
        <f t="shared" si="37"/>
        <v>S000630Château Poujeaux Moulis-en-Médoc2018</v>
      </c>
      <c r="J629">
        <f t="shared" si="40"/>
        <v>1</v>
      </c>
    </row>
    <row r="630" spans="1:10">
      <c r="A630" t="s">
        <v>1249</v>
      </c>
      <c r="B630" t="s">
        <v>1250</v>
      </c>
      <c r="C630" t="s">
        <v>118</v>
      </c>
      <c r="D630" t="str">
        <f t="shared" si="38"/>
        <v>S000631Château Prieuré-Lichine Margaux Quatrième Grand Cru Classé2018</v>
      </c>
      <c r="E630">
        <f t="shared" si="39"/>
        <v>1</v>
      </c>
      <c r="F630" t="s">
        <v>1249</v>
      </c>
      <c r="G630" t="s">
        <v>1250</v>
      </c>
      <c r="H630" t="s">
        <v>118</v>
      </c>
      <c r="I630" t="str">
        <f t="shared" si="37"/>
        <v>S000631Château Prieuré-Lichine Margaux Quatrième Grand Cru Classé2018</v>
      </c>
      <c r="J630">
        <f t="shared" si="40"/>
        <v>1</v>
      </c>
    </row>
    <row r="631" spans="1:10">
      <c r="A631" t="s">
        <v>1251</v>
      </c>
      <c r="B631" t="s">
        <v>1250</v>
      </c>
      <c r="C631" t="s">
        <v>118</v>
      </c>
      <c r="D631" t="str">
        <f t="shared" si="38"/>
        <v>S000632Château Prieuré-Lichine Margaux Quatrième Grand Cru Classé2018</v>
      </c>
      <c r="E631">
        <f t="shared" si="39"/>
        <v>1</v>
      </c>
      <c r="F631" t="s">
        <v>1251</v>
      </c>
      <c r="G631" t="s">
        <v>1250</v>
      </c>
      <c r="H631" t="s">
        <v>118</v>
      </c>
      <c r="I631" t="str">
        <f t="shared" si="37"/>
        <v>S000632Château Prieuré-Lichine Margaux Quatrième Grand Cru Classé2018</v>
      </c>
      <c r="J631">
        <f t="shared" si="40"/>
        <v>1</v>
      </c>
    </row>
    <row r="632" spans="1:10">
      <c r="A632" t="s">
        <v>1252</v>
      </c>
      <c r="B632" t="s">
        <v>1253</v>
      </c>
      <c r="C632" t="s">
        <v>139</v>
      </c>
      <c r="D632" t="str">
        <f t="shared" si="38"/>
        <v>S000633Domaine Prieuré Roch Nuits-Saint-Georges 'Clos des Argillières' Premier Cru2010</v>
      </c>
      <c r="E632">
        <f t="shared" si="39"/>
        <v>1</v>
      </c>
      <c r="F632" t="s">
        <v>1252</v>
      </c>
      <c r="G632" t="s">
        <v>1253</v>
      </c>
      <c r="H632" t="s">
        <v>139</v>
      </c>
      <c r="I632" t="str">
        <f t="shared" si="37"/>
        <v>S000633Domaine Prieuré Roch Nuits-Saint-Georges 'Clos des Argillières' Premier Cru2010</v>
      </c>
      <c r="J632">
        <f t="shared" si="40"/>
        <v>1</v>
      </c>
    </row>
    <row r="633" spans="1:10">
      <c r="A633" t="s">
        <v>1254</v>
      </c>
      <c r="B633" t="s">
        <v>1255</v>
      </c>
      <c r="C633" t="s">
        <v>222</v>
      </c>
      <c r="D633" t="str">
        <f t="shared" si="38"/>
        <v>S000634Puchang Vineyard Clovine Sweet Muscat2015</v>
      </c>
      <c r="E633">
        <f t="shared" si="39"/>
        <v>1</v>
      </c>
      <c r="F633" t="s">
        <v>1254</v>
      </c>
      <c r="G633" t="s">
        <v>1255</v>
      </c>
      <c r="H633" t="s">
        <v>222</v>
      </c>
      <c r="I633" t="str">
        <f t="shared" si="37"/>
        <v>S000634Puchang Vineyard Clovine Sweet Muscat2015</v>
      </c>
      <c r="J633">
        <f t="shared" si="40"/>
        <v>1</v>
      </c>
    </row>
    <row r="634" spans="1:10">
      <c r="A634" t="s">
        <v>1256</v>
      </c>
      <c r="B634" t="s">
        <v>1257</v>
      </c>
      <c r="C634" t="s">
        <v>92</v>
      </c>
      <c r="D634" t="str">
        <f t="shared" si="38"/>
        <v>S000635Domaine Pierre-Yves Colin-Morey Nuits-Saint-Georges 'Aux Boudots' Premier Cru2020</v>
      </c>
      <c r="E634">
        <f t="shared" si="39"/>
        <v>1</v>
      </c>
      <c r="F634" t="s">
        <v>1256</v>
      </c>
      <c r="G634" t="s">
        <v>1257</v>
      </c>
      <c r="H634" t="s">
        <v>92</v>
      </c>
      <c r="I634" t="str">
        <f t="shared" si="37"/>
        <v>S000635Domaine Pierre-Yves Colin-Morey Nuits-Saint-Georges 'Aux Boudots' Premier Cru2020</v>
      </c>
      <c r="J634">
        <f t="shared" si="40"/>
        <v>1</v>
      </c>
    </row>
    <row r="635" spans="1:10">
      <c r="A635" t="s">
        <v>1258</v>
      </c>
      <c r="B635" t="s">
        <v>1259</v>
      </c>
      <c r="C635" t="s">
        <v>137</v>
      </c>
      <c r="D635" t="str">
        <f t="shared" si="38"/>
        <v>S000636Chateau Quinault L'Enclos2017</v>
      </c>
      <c r="E635">
        <f t="shared" si="39"/>
        <v>1</v>
      </c>
      <c r="F635" t="s">
        <v>1258</v>
      </c>
      <c r="G635" t="s">
        <v>1259</v>
      </c>
      <c r="H635" t="s">
        <v>137</v>
      </c>
      <c r="I635" t="str">
        <f t="shared" si="37"/>
        <v>S000636Chateau Quinault L'Enclos2017</v>
      </c>
      <c r="J635">
        <f t="shared" si="40"/>
        <v>1</v>
      </c>
    </row>
    <row r="636" spans="1:10">
      <c r="A636" t="s">
        <v>1260</v>
      </c>
      <c r="B636" t="s">
        <v>1261</v>
      </c>
      <c r="C636" t="s">
        <v>30</v>
      </c>
      <c r="D636" t="str">
        <f t="shared" si="38"/>
        <v>S000637Domaine Ramonet Chassagne-Montrachet 'La Boudriotte' Premier Cru2022</v>
      </c>
      <c r="E636">
        <f t="shared" si="39"/>
        <v>1</v>
      </c>
      <c r="F636" t="s">
        <v>1260</v>
      </c>
      <c r="G636" t="s">
        <v>1261</v>
      </c>
      <c r="H636" t="s">
        <v>30</v>
      </c>
      <c r="I636" t="str">
        <f t="shared" si="37"/>
        <v>S000637Domaine Ramonet Chassagne-Montrachet 'La Boudriotte' Premier Cru2022</v>
      </c>
      <c r="J636">
        <f t="shared" si="40"/>
        <v>1</v>
      </c>
    </row>
    <row r="637" spans="1:10">
      <c r="A637" t="s">
        <v>1262</v>
      </c>
      <c r="B637" t="s">
        <v>1263</v>
      </c>
      <c r="C637" t="s">
        <v>92</v>
      </c>
      <c r="D637" t="str">
        <f t="shared" si="38"/>
        <v>S000638Domaine Ramonet Chassagne-Montrachet 'Morgeot' Premier Cru2020</v>
      </c>
      <c r="E637">
        <f t="shared" si="39"/>
        <v>1</v>
      </c>
      <c r="F637" t="s">
        <v>1262</v>
      </c>
      <c r="G637" t="s">
        <v>1263</v>
      </c>
      <c r="H637" t="s">
        <v>92</v>
      </c>
      <c r="I637" t="str">
        <f t="shared" si="37"/>
        <v>S000638Domaine Ramonet Chassagne-Montrachet 'Morgeot' Premier Cru2020</v>
      </c>
      <c r="J637">
        <f t="shared" si="40"/>
        <v>1</v>
      </c>
    </row>
    <row r="638" spans="1:10">
      <c r="A638" t="s">
        <v>1264</v>
      </c>
      <c r="B638" t="s">
        <v>1265</v>
      </c>
      <c r="C638" t="s">
        <v>127</v>
      </c>
      <c r="D638" t="str">
        <f t="shared" si="38"/>
        <v>S000639Chateau Rauzan-Segla2009</v>
      </c>
      <c r="E638">
        <f t="shared" si="39"/>
        <v>1</v>
      </c>
      <c r="F638" t="s">
        <v>1264</v>
      </c>
      <c r="G638" t="s">
        <v>1265</v>
      </c>
      <c r="H638" t="s">
        <v>127</v>
      </c>
      <c r="I638" t="str">
        <f t="shared" si="37"/>
        <v>S000639Chateau Rauzan-Segla2009</v>
      </c>
      <c r="J638">
        <f t="shared" si="40"/>
        <v>1</v>
      </c>
    </row>
    <row r="639" spans="1:10">
      <c r="A639" t="s">
        <v>1266</v>
      </c>
      <c r="B639" t="s">
        <v>1267</v>
      </c>
      <c r="C639" t="s">
        <v>222</v>
      </c>
      <c r="D639" t="str">
        <f t="shared" si="38"/>
        <v>S000640Domaine René Leclerc Gevrey-Chambertin 'Combes aux Moines' Premier Cru2015</v>
      </c>
      <c r="E639">
        <f t="shared" si="39"/>
        <v>1</v>
      </c>
      <c r="F639" t="s">
        <v>1266</v>
      </c>
      <c r="G639" t="s">
        <v>1267</v>
      </c>
      <c r="H639" t="s">
        <v>222</v>
      </c>
      <c r="I639" t="str">
        <f t="shared" si="37"/>
        <v>S000640Domaine René Leclerc Gevrey-Chambertin 'Combes aux Moines' Premier Cru2015</v>
      </c>
      <c r="J639">
        <f t="shared" si="40"/>
        <v>1</v>
      </c>
    </row>
    <row r="640" spans="1:10">
      <c r="A640" t="s">
        <v>1268</v>
      </c>
      <c r="B640" t="s">
        <v>1269</v>
      </c>
      <c r="C640" t="s">
        <v>118</v>
      </c>
      <c r="D640" t="str">
        <f t="shared" si="38"/>
        <v>S000641Richard Leroy Les Noels de Montbenault Chenin2018</v>
      </c>
      <c r="E640">
        <f t="shared" si="39"/>
        <v>1</v>
      </c>
      <c r="F640" t="s">
        <v>1268</v>
      </c>
      <c r="G640" t="s">
        <v>1269</v>
      </c>
      <c r="H640" t="s">
        <v>118</v>
      </c>
      <c r="I640" t="str">
        <f t="shared" si="37"/>
        <v>S000641Richard Leroy Les Noels de Montbenault Chenin2018</v>
      </c>
      <c r="J640">
        <f t="shared" si="40"/>
        <v>1</v>
      </c>
    </row>
    <row r="641" spans="1:10">
      <c r="A641" t="s">
        <v>1270</v>
      </c>
      <c r="B641" t="s">
        <v>1271</v>
      </c>
      <c r="C641" t="s">
        <v>92</v>
      </c>
      <c r="D641" t="str">
        <f t="shared" si="38"/>
        <v>S000642Domaine Robert Chevillon Nuits-Saint-Georges Vieilles Vignes2020</v>
      </c>
      <c r="E641">
        <f t="shared" si="39"/>
        <v>1</v>
      </c>
      <c r="F641" t="s">
        <v>1270</v>
      </c>
      <c r="G641" t="s">
        <v>1271</v>
      </c>
      <c r="H641" t="s">
        <v>92</v>
      </c>
      <c r="I641" t="str">
        <f t="shared" ref="I641:I704" si="41">F641&amp;G641&amp;H641</f>
        <v>S000642Domaine Robert Chevillon Nuits-Saint-Georges Vieilles Vignes2020</v>
      </c>
      <c r="J641">
        <f t="shared" si="40"/>
        <v>1</v>
      </c>
    </row>
    <row r="642" spans="1:10">
      <c r="A642" t="s">
        <v>1272</v>
      </c>
      <c r="B642" t="s">
        <v>1273</v>
      </c>
      <c r="C642" t="s">
        <v>81</v>
      </c>
      <c r="D642" t="str">
        <f t="shared" si="38"/>
        <v>S000643Domaine Robert Chevillon Nuits-Saint-Georges 'Les Cailles' Premier Cru2019</v>
      </c>
      <c r="E642">
        <f t="shared" si="39"/>
        <v>1</v>
      </c>
      <c r="F642" t="s">
        <v>1272</v>
      </c>
      <c r="G642" t="s">
        <v>1273</v>
      </c>
      <c r="H642" t="s">
        <v>81</v>
      </c>
      <c r="I642" t="str">
        <f t="shared" si="41"/>
        <v>S000643Domaine Robert Chevillon Nuits-Saint-Georges 'Les Cailles' Premier Cru2019</v>
      </c>
      <c r="J642">
        <f t="shared" si="40"/>
        <v>1</v>
      </c>
    </row>
    <row r="643" spans="1:10">
      <c r="A643" t="s">
        <v>1274</v>
      </c>
      <c r="B643" t="s">
        <v>1275</v>
      </c>
      <c r="C643" t="s">
        <v>114</v>
      </c>
      <c r="D643" t="str">
        <f t="shared" ref="D643:D706" si="42">A643&amp;B643&amp;C643</f>
        <v>S000644Domaine Robert Groffier Pere &amp; Fils Bonnes-Mares Grand Cru2014</v>
      </c>
      <c r="E643">
        <f t="shared" ref="E643:E706" si="43">IF(A643=F643,1,0)</f>
        <v>1</v>
      </c>
      <c r="F643" t="s">
        <v>1274</v>
      </c>
      <c r="G643" t="s">
        <v>1275</v>
      </c>
      <c r="H643" t="s">
        <v>114</v>
      </c>
      <c r="I643" t="str">
        <f t="shared" si="41"/>
        <v>S000644Domaine Robert Groffier Pere &amp; Fils Bonnes-Mares Grand Cru2014</v>
      </c>
      <c r="J643">
        <f t="shared" ref="J643:J706" si="44">IF(D643=I643,1,0)</f>
        <v>1</v>
      </c>
    </row>
    <row r="644" spans="1:10">
      <c r="A644" t="s">
        <v>1276</v>
      </c>
      <c r="B644" t="s">
        <v>1275</v>
      </c>
      <c r="C644" t="s">
        <v>172</v>
      </c>
      <c r="D644" t="str">
        <f t="shared" si="42"/>
        <v>S000645Domaine Robert Groffier Pere &amp; Fils Bonnes-Mares Grand Cru2012</v>
      </c>
      <c r="E644">
        <f t="shared" si="43"/>
        <v>1</v>
      </c>
      <c r="F644" t="s">
        <v>1276</v>
      </c>
      <c r="G644" t="s">
        <v>1275</v>
      </c>
      <c r="H644" t="s">
        <v>172</v>
      </c>
      <c r="I644" t="str">
        <f t="shared" si="41"/>
        <v>S000645Domaine Robert Groffier Pere &amp; Fils Bonnes-Mares Grand Cru2012</v>
      </c>
      <c r="J644">
        <f t="shared" si="44"/>
        <v>1</v>
      </c>
    </row>
    <row r="645" spans="1:10">
      <c r="A645" t="s">
        <v>1277</v>
      </c>
      <c r="B645" t="s">
        <v>1275</v>
      </c>
      <c r="C645" t="s">
        <v>111</v>
      </c>
      <c r="D645" t="str">
        <f t="shared" si="42"/>
        <v>S000646Domaine Robert Groffier Pere &amp; Fils Bonnes-Mares Grand Cru2013</v>
      </c>
      <c r="E645">
        <f t="shared" si="43"/>
        <v>1</v>
      </c>
      <c r="F645" t="s">
        <v>1277</v>
      </c>
      <c r="G645" t="s">
        <v>1275</v>
      </c>
      <c r="H645" t="s">
        <v>111</v>
      </c>
      <c r="I645" t="str">
        <f t="shared" si="41"/>
        <v>S000646Domaine Robert Groffier Pere &amp; Fils Bonnes-Mares Grand Cru2013</v>
      </c>
      <c r="J645">
        <f t="shared" si="44"/>
        <v>1</v>
      </c>
    </row>
    <row r="646" spans="1:10">
      <c r="A646" t="s">
        <v>1278</v>
      </c>
      <c r="B646" t="s">
        <v>1279</v>
      </c>
      <c r="C646" t="s">
        <v>137</v>
      </c>
      <c r="D646" t="str">
        <f t="shared" si="42"/>
        <v>S000647Domaine Robert Groffier Pere &amp; Fils Bourgogne Pinot Noir2017</v>
      </c>
      <c r="E646">
        <f t="shared" si="43"/>
        <v>1</v>
      </c>
      <c r="F646" t="s">
        <v>1278</v>
      </c>
      <c r="G646" t="s">
        <v>1279</v>
      </c>
      <c r="H646" t="s">
        <v>137</v>
      </c>
      <c r="I646" t="str">
        <f t="shared" si="41"/>
        <v>S000647Domaine Robert Groffier Pere &amp; Fils Bourgogne Pinot Noir2017</v>
      </c>
      <c r="J646">
        <f t="shared" si="44"/>
        <v>1</v>
      </c>
    </row>
    <row r="647" spans="1:10">
      <c r="A647" t="s">
        <v>1280</v>
      </c>
      <c r="B647" t="s">
        <v>1279</v>
      </c>
      <c r="C647" t="s">
        <v>92</v>
      </c>
      <c r="D647" t="str">
        <f t="shared" si="42"/>
        <v>S000648Domaine Robert Groffier Pere &amp; Fils Bourgogne Pinot Noir2020</v>
      </c>
      <c r="E647">
        <f t="shared" si="43"/>
        <v>1</v>
      </c>
      <c r="F647" t="s">
        <v>1280</v>
      </c>
      <c r="G647" t="s">
        <v>1279</v>
      </c>
      <c r="H647" t="s">
        <v>92</v>
      </c>
      <c r="I647" t="str">
        <f t="shared" si="41"/>
        <v>S000648Domaine Robert Groffier Pere &amp; Fils Bourgogne Pinot Noir2020</v>
      </c>
      <c r="J647">
        <f t="shared" si="44"/>
        <v>1</v>
      </c>
    </row>
    <row r="648" spans="1:10">
      <c r="A648" t="s">
        <v>1281</v>
      </c>
      <c r="B648" t="s">
        <v>1279</v>
      </c>
      <c r="C648" t="s">
        <v>56</v>
      </c>
      <c r="D648" t="str">
        <f t="shared" si="42"/>
        <v>S000649Domaine Robert Groffier Pere &amp; Fils Bourgogne Pinot Noir2021</v>
      </c>
      <c r="E648">
        <f t="shared" si="43"/>
        <v>1</v>
      </c>
      <c r="F648" t="s">
        <v>1281</v>
      </c>
      <c r="G648" t="s">
        <v>1279</v>
      </c>
      <c r="H648" t="s">
        <v>56</v>
      </c>
      <c r="I648" t="str">
        <f t="shared" si="41"/>
        <v>S000649Domaine Robert Groffier Pere &amp; Fils Bourgogne Pinot Noir2021</v>
      </c>
      <c r="J648">
        <f t="shared" si="44"/>
        <v>1</v>
      </c>
    </row>
    <row r="649" spans="1:10">
      <c r="A649" t="s">
        <v>1282</v>
      </c>
      <c r="B649" t="s">
        <v>1283</v>
      </c>
      <c r="C649" t="s">
        <v>56</v>
      </c>
      <c r="D649" t="str">
        <f t="shared" si="42"/>
        <v>S000650Domaine Robert Groffier Père &amp; Fils Chambolle-Musigny 'Les Hauts Doix' Premier Cru2021</v>
      </c>
      <c r="E649">
        <f t="shared" si="43"/>
        <v>1</v>
      </c>
      <c r="F649" t="s">
        <v>1282</v>
      </c>
      <c r="G649" t="s">
        <v>1283</v>
      </c>
      <c r="H649" t="s">
        <v>56</v>
      </c>
      <c r="I649" t="str">
        <f t="shared" si="41"/>
        <v>S000650Domaine Robert Groffier Père &amp; Fils Chambolle-Musigny 'Les Hauts Doix' Premier Cru2021</v>
      </c>
      <c r="J649">
        <f t="shared" si="44"/>
        <v>1</v>
      </c>
    </row>
    <row r="650" spans="1:10">
      <c r="A650" t="s">
        <v>1284</v>
      </c>
      <c r="B650" t="s">
        <v>1285</v>
      </c>
      <c r="C650" t="s">
        <v>56</v>
      </c>
      <c r="D650" t="str">
        <f t="shared" si="42"/>
        <v>S000651Domaine Robert Groffier Père &amp; Fils Chambolle-Musigny 'Les Sentiers' Premier Cru2021</v>
      </c>
      <c r="E650">
        <f t="shared" si="43"/>
        <v>1</v>
      </c>
      <c r="F650" t="s">
        <v>1284</v>
      </c>
      <c r="G650" t="s">
        <v>1285</v>
      </c>
      <c r="H650" t="s">
        <v>56</v>
      </c>
      <c r="I650" t="str">
        <f t="shared" si="41"/>
        <v>S000651Domaine Robert Groffier Père &amp; Fils Chambolle-Musigny 'Les Sentiers' Premier Cru2021</v>
      </c>
      <c r="J650">
        <f t="shared" si="44"/>
        <v>1</v>
      </c>
    </row>
    <row r="651" spans="1:10">
      <c r="A651" t="s">
        <v>1286</v>
      </c>
      <c r="B651" t="s">
        <v>1287</v>
      </c>
      <c r="C651" t="s">
        <v>222</v>
      </c>
      <c r="D651" t="str">
        <f t="shared" si="42"/>
        <v>S000652Domaine Robert Groffier Père &amp; Fils Gevrey-Chambertin 'Les Seuvrées'2015</v>
      </c>
      <c r="E651">
        <f t="shared" si="43"/>
        <v>1</v>
      </c>
      <c r="F651" t="s">
        <v>1286</v>
      </c>
      <c r="G651" t="s">
        <v>1287</v>
      </c>
      <c r="H651" t="s">
        <v>222</v>
      </c>
      <c r="I651" t="str">
        <f t="shared" si="41"/>
        <v>S000652Domaine Robert Groffier Père &amp; Fils Gevrey-Chambertin 'Les Seuvrées'2015</v>
      </c>
      <c r="J651">
        <f t="shared" si="44"/>
        <v>1</v>
      </c>
    </row>
    <row r="652" spans="1:10">
      <c r="A652" t="s">
        <v>1288</v>
      </c>
      <c r="B652" t="s">
        <v>1287</v>
      </c>
      <c r="C652" t="s">
        <v>56</v>
      </c>
      <c r="D652" t="str">
        <f t="shared" si="42"/>
        <v>S000653Domaine Robert Groffier Père &amp; Fils Gevrey-Chambertin 'Les Seuvrées'2021</v>
      </c>
      <c r="E652">
        <f t="shared" si="43"/>
        <v>1</v>
      </c>
      <c r="F652" t="s">
        <v>1288</v>
      </c>
      <c r="G652" t="s">
        <v>1287</v>
      </c>
      <c r="H652" t="s">
        <v>56</v>
      </c>
      <c r="I652" t="str">
        <f t="shared" si="41"/>
        <v>S000653Domaine Robert Groffier Père &amp; Fils Gevrey-Chambertin 'Les Seuvrées'2021</v>
      </c>
      <c r="J652">
        <f t="shared" si="44"/>
        <v>1</v>
      </c>
    </row>
    <row r="653" spans="1:10">
      <c r="A653" t="s">
        <v>1289</v>
      </c>
      <c r="B653" t="s">
        <v>1290</v>
      </c>
      <c r="C653" t="s">
        <v>222</v>
      </c>
      <c r="D653" t="str">
        <f t="shared" si="42"/>
        <v>S000654Château Rol Valentin Saint-Émilion Grand Cru2015</v>
      </c>
      <c r="E653">
        <f t="shared" si="43"/>
        <v>1</v>
      </c>
      <c r="F653" t="s">
        <v>1289</v>
      </c>
      <c r="G653" t="s">
        <v>1290</v>
      </c>
      <c r="H653" t="s">
        <v>222</v>
      </c>
      <c r="I653" t="str">
        <f t="shared" si="41"/>
        <v>S000654Château Rol Valentin Saint-Émilion Grand Cru2015</v>
      </c>
      <c r="J653">
        <f t="shared" si="44"/>
        <v>1</v>
      </c>
    </row>
    <row r="654" spans="1:10">
      <c r="A654" t="s">
        <v>1291</v>
      </c>
      <c r="B654" t="s">
        <v>1292</v>
      </c>
      <c r="C654" t="s">
        <v>127</v>
      </c>
      <c r="D654" t="str">
        <f t="shared" si="42"/>
        <v>S000655Domaine Georges &amp; Christophe Roumier Charmes-Chambertin 'Aux Mazoyères' Grand Cru2009</v>
      </c>
      <c r="E654">
        <f t="shared" si="43"/>
        <v>1</v>
      </c>
      <c r="F654" t="s">
        <v>1291</v>
      </c>
      <c r="G654" t="s">
        <v>1292</v>
      </c>
      <c r="H654" t="s">
        <v>127</v>
      </c>
      <c r="I654" t="str">
        <f t="shared" si="41"/>
        <v>S000655Domaine Georges &amp; Christophe Roumier Charmes-Chambertin 'Aux Mazoyères' Grand Cru2009</v>
      </c>
      <c r="J654">
        <f t="shared" si="44"/>
        <v>1</v>
      </c>
    </row>
    <row r="655" spans="1:10">
      <c r="A655" t="s">
        <v>1293</v>
      </c>
      <c r="B655" t="s">
        <v>1294</v>
      </c>
      <c r="C655" t="s">
        <v>114</v>
      </c>
      <c r="D655" t="str">
        <f t="shared" si="42"/>
        <v>S000656Château Montrose Tertio de Montrose Saint-Estèphe2014</v>
      </c>
      <c r="E655">
        <f t="shared" si="43"/>
        <v>1</v>
      </c>
      <c r="F655" t="s">
        <v>1293</v>
      </c>
      <c r="G655" t="s">
        <v>1294</v>
      </c>
      <c r="H655" t="s">
        <v>114</v>
      </c>
      <c r="I655" t="str">
        <f t="shared" si="41"/>
        <v>S000656Château Montrose Tertio de Montrose Saint-Estèphe2014</v>
      </c>
      <c r="J655">
        <f t="shared" si="44"/>
        <v>1</v>
      </c>
    </row>
    <row r="656" spans="1:10">
      <c r="A656" t="s">
        <v>1295</v>
      </c>
      <c r="B656" t="s">
        <v>1296</v>
      </c>
      <c r="C656" t="s">
        <v>144</v>
      </c>
      <c r="D656" t="str">
        <f t="shared" si="42"/>
        <v>S000657Jacquesson Lieux-Dits Collection Assortment Case OWC (Discoge: 2022)NV</v>
      </c>
      <c r="E656">
        <f t="shared" si="43"/>
        <v>1</v>
      </c>
      <c r="F656" t="s">
        <v>1295</v>
      </c>
      <c r="G656" t="s">
        <v>2429</v>
      </c>
      <c r="H656" t="s">
        <v>144</v>
      </c>
      <c r="I656" t="str">
        <f t="shared" si="41"/>
        <v>S000657Jacques Selosse Lieux-Dits Collection Assortment Case OWC (Discoge: 2022) NV</v>
      </c>
      <c r="J656">
        <f t="shared" si="44"/>
        <v>0</v>
      </c>
    </row>
    <row r="657" spans="1:10">
      <c r="A657" t="s">
        <v>1297</v>
      </c>
      <c r="B657" t="s">
        <v>1298</v>
      </c>
      <c r="C657" t="s">
        <v>92</v>
      </c>
      <c r="D657" t="str">
        <f t="shared" si="42"/>
        <v>S000658Sena 2020</v>
      </c>
      <c r="E657">
        <f t="shared" si="43"/>
        <v>1</v>
      </c>
      <c r="F657" t="s">
        <v>1297</v>
      </c>
      <c r="G657" t="s">
        <v>1298</v>
      </c>
      <c r="H657" t="s">
        <v>92</v>
      </c>
      <c r="I657" t="str">
        <f t="shared" si="41"/>
        <v>S000658Sena 2020</v>
      </c>
      <c r="J657">
        <f t="shared" si="44"/>
        <v>1</v>
      </c>
    </row>
    <row r="658" spans="1:10">
      <c r="A658" t="s">
        <v>1299</v>
      </c>
      <c r="B658" t="s">
        <v>1300</v>
      </c>
      <c r="C658" t="s">
        <v>114</v>
      </c>
      <c r="D658" t="str">
        <f t="shared" si="42"/>
        <v>S000659Domaine Sérafin Père &amp; Fils Gevrey-Chambertin2014</v>
      </c>
      <c r="E658">
        <f t="shared" si="43"/>
        <v>1</v>
      </c>
      <c r="F658" t="s">
        <v>1299</v>
      </c>
      <c r="G658" t="s">
        <v>1300</v>
      </c>
      <c r="H658" t="s">
        <v>114</v>
      </c>
      <c r="I658" t="str">
        <f t="shared" si="41"/>
        <v>S000659Domaine Sérafin Père &amp; Fils Gevrey-Chambertin2014</v>
      </c>
      <c r="J658">
        <f t="shared" si="44"/>
        <v>1</v>
      </c>
    </row>
    <row r="659" spans="1:10">
      <c r="A659" t="s">
        <v>1301</v>
      </c>
      <c r="B659" t="s">
        <v>1302</v>
      </c>
      <c r="C659" t="s">
        <v>127</v>
      </c>
      <c r="D659" t="str">
        <f t="shared" si="42"/>
        <v>S000660Domaine Jean-Paul et Stephane Magnien 'Clos Saint-Denis' Grand Cru2009</v>
      </c>
      <c r="E659">
        <f t="shared" si="43"/>
        <v>1</v>
      </c>
      <c r="F659" t="s">
        <v>1301</v>
      </c>
      <c r="G659" t="s">
        <v>1302</v>
      </c>
      <c r="H659" t="s">
        <v>127</v>
      </c>
      <c r="I659" t="str">
        <f t="shared" si="41"/>
        <v>S000660Domaine Jean-Paul et Stephane Magnien 'Clos Saint-Denis' Grand Cru2009</v>
      </c>
      <c r="J659">
        <f t="shared" si="44"/>
        <v>1</v>
      </c>
    </row>
    <row r="660" spans="1:10">
      <c r="A660" t="s">
        <v>1303</v>
      </c>
      <c r="B660" t="s">
        <v>1304</v>
      </c>
      <c r="C660" t="s">
        <v>139</v>
      </c>
      <c r="D660" t="str">
        <f t="shared" si="42"/>
        <v>S000661Domaine Sylvain Cathiard Nuits-Saint-Georges 'Aux Murgers' Premier Cru2010</v>
      </c>
      <c r="E660">
        <f t="shared" si="43"/>
        <v>1</v>
      </c>
      <c r="F660" t="s">
        <v>1303</v>
      </c>
      <c r="G660" t="s">
        <v>1304</v>
      </c>
      <c r="H660" t="s">
        <v>139</v>
      </c>
      <c r="I660" t="str">
        <f t="shared" si="41"/>
        <v>S000661Domaine Sylvain Cathiard Nuits-Saint-Georges 'Aux Murgers' Premier Cru2010</v>
      </c>
      <c r="J660">
        <f t="shared" si="44"/>
        <v>1</v>
      </c>
    </row>
    <row r="661" spans="1:10">
      <c r="A661" t="s">
        <v>1305</v>
      </c>
      <c r="B661" t="s">
        <v>1306</v>
      </c>
      <c r="C661" t="s">
        <v>114</v>
      </c>
      <c r="D661" t="str">
        <f t="shared" si="42"/>
        <v>S000662Sylvain Cathiard Nuits-Saint-Georges 'Aux Thorey' Premier Cru2014</v>
      </c>
      <c r="E661">
        <f t="shared" si="43"/>
        <v>1</v>
      </c>
      <c r="F661" t="s">
        <v>1305</v>
      </c>
      <c r="G661" t="s">
        <v>1306</v>
      </c>
      <c r="H661" t="s">
        <v>114</v>
      </c>
      <c r="I661" t="str">
        <f t="shared" si="41"/>
        <v>S000662Sylvain Cathiard Nuits-Saint-Georges 'Aux Thorey' Premier Cru2014</v>
      </c>
      <c r="J661">
        <f t="shared" si="44"/>
        <v>1</v>
      </c>
    </row>
    <row r="662" spans="1:10">
      <c r="A662" t="s">
        <v>1307</v>
      </c>
      <c r="B662" t="s">
        <v>1308</v>
      </c>
      <c r="C662" t="s">
        <v>81</v>
      </c>
      <c r="D662" t="str">
        <f t="shared" si="42"/>
        <v>S000663Sylvain Cathiard Nuits-Saint-Georges 'Aux Murgers' Premier Cru2019</v>
      </c>
      <c r="E662">
        <f t="shared" si="43"/>
        <v>1</v>
      </c>
      <c r="F662" t="s">
        <v>1307</v>
      </c>
      <c r="G662" t="s">
        <v>1308</v>
      </c>
      <c r="H662" t="s">
        <v>81</v>
      </c>
      <c r="I662" t="str">
        <f t="shared" si="41"/>
        <v>S000663Sylvain Cathiard Nuits-Saint-Georges 'Aux Murgers' Premier Cru2019</v>
      </c>
      <c r="J662">
        <f t="shared" si="44"/>
        <v>1</v>
      </c>
    </row>
    <row r="663" spans="1:10">
      <c r="A663" t="s">
        <v>1309</v>
      </c>
      <c r="B663" t="s">
        <v>1306</v>
      </c>
      <c r="C663" t="s">
        <v>127</v>
      </c>
      <c r="D663" t="str">
        <f t="shared" si="42"/>
        <v>S000664Sylvain Cathiard Nuits-Saint-Georges 'Aux Thorey' Premier Cru2009</v>
      </c>
      <c r="E663">
        <f t="shared" si="43"/>
        <v>1</v>
      </c>
      <c r="F663" t="s">
        <v>1309</v>
      </c>
      <c r="G663" t="s">
        <v>1306</v>
      </c>
      <c r="H663" t="s">
        <v>127</v>
      </c>
      <c r="I663" t="str">
        <f t="shared" si="41"/>
        <v>S000664Sylvain Cathiard Nuits-Saint-Georges 'Aux Thorey' Premier Cru2009</v>
      </c>
      <c r="J663">
        <f t="shared" si="44"/>
        <v>1</v>
      </c>
    </row>
    <row r="664" spans="1:10">
      <c r="A664" t="s">
        <v>1310</v>
      </c>
      <c r="B664" t="s">
        <v>1306</v>
      </c>
      <c r="C664" t="s">
        <v>172</v>
      </c>
      <c r="D664" t="str">
        <f t="shared" si="42"/>
        <v>S000665Sylvain Cathiard Nuits-Saint-Georges 'Aux Thorey' Premier Cru2012</v>
      </c>
      <c r="E664">
        <f t="shared" si="43"/>
        <v>1</v>
      </c>
      <c r="F664" t="s">
        <v>1310</v>
      </c>
      <c r="G664" t="s">
        <v>1306</v>
      </c>
      <c r="H664" t="s">
        <v>172</v>
      </c>
      <c r="I664" t="str">
        <f t="shared" si="41"/>
        <v>S000665Sylvain Cathiard Nuits-Saint-Georges 'Aux Thorey' Premier Cru2012</v>
      </c>
      <c r="J664">
        <f t="shared" si="44"/>
        <v>1</v>
      </c>
    </row>
    <row r="665" spans="1:10">
      <c r="A665" t="s">
        <v>1311</v>
      </c>
      <c r="B665" t="s">
        <v>1306</v>
      </c>
      <c r="C665" t="s">
        <v>92</v>
      </c>
      <c r="D665" t="str">
        <f t="shared" si="42"/>
        <v>S000666Sylvain Cathiard Nuits-Saint-Georges 'Aux Thorey' Premier Cru2020</v>
      </c>
      <c r="E665">
        <f t="shared" si="43"/>
        <v>1</v>
      </c>
      <c r="F665" t="s">
        <v>1311</v>
      </c>
      <c r="G665" t="s">
        <v>1306</v>
      </c>
      <c r="H665" t="s">
        <v>92</v>
      </c>
      <c r="I665" t="str">
        <f t="shared" si="41"/>
        <v>S000666Sylvain Cathiard Nuits-Saint-Georges 'Aux Thorey' Premier Cru2020</v>
      </c>
      <c r="J665">
        <f t="shared" si="44"/>
        <v>1</v>
      </c>
    </row>
    <row r="666" spans="1:10">
      <c r="A666" t="s">
        <v>1312</v>
      </c>
      <c r="B666" t="s">
        <v>1313</v>
      </c>
      <c r="C666" t="s">
        <v>139</v>
      </c>
      <c r="D666" t="str">
        <f t="shared" si="42"/>
        <v>S000667Sylvain Cathiard Vosne-Romanée 'Aux Malconsorts' Premier Cru2010</v>
      </c>
      <c r="E666">
        <f t="shared" si="43"/>
        <v>1</v>
      </c>
      <c r="F666" t="s">
        <v>1312</v>
      </c>
      <c r="G666" t="s">
        <v>1313</v>
      </c>
      <c r="H666" t="s">
        <v>139</v>
      </c>
      <c r="I666" t="str">
        <f t="shared" si="41"/>
        <v>S000667Sylvain Cathiard Vosne-Romanée 'Aux Malconsorts' Premier Cru2010</v>
      </c>
      <c r="J666">
        <f t="shared" si="44"/>
        <v>1</v>
      </c>
    </row>
    <row r="667" spans="1:10">
      <c r="A667" t="s">
        <v>1314</v>
      </c>
      <c r="B667" t="s">
        <v>1315</v>
      </c>
      <c r="C667" t="s">
        <v>114</v>
      </c>
      <c r="D667" t="str">
        <f t="shared" si="42"/>
        <v>S000668Sylvain Cathiard Vosne-Romanée 'En Orveaux' Premier Cru2014</v>
      </c>
      <c r="E667">
        <f t="shared" si="43"/>
        <v>1</v>
      </c>
      <c r="F667" t="s">
        <v>1314</v>
      </c>
      <c r="G667" t="s">
        <v>1315</v>
      </c>
      <c r="H667" t="s">
        <v>114</v>
      </c>
      <c r="I667" t="str">
        <f t="shared" si="41"/>
        <v>S000668Sylvain Cathiard Vosne-Romanée 'En Orveaux' Premier Cru2014</v>
      </c>
      <c r="J667">
        <f t="shared" si="44"/>
        <v>1</v>
      </c>
    </row>
    <row r="668" spans="1:10">
      <c r="A668" t="s">
        <v>1316</v>
      </c>
      <c r="B668" t="s">
        <v>1317</v>
      </c>
      <c r="C668" t="s">
        <v>81</v>
      </c>
      <c r="D668" t="str">
        <f t="shared" si="42"/>
        <v>S000669Domaine Sylvie Esmonin Bourgogne Rouge 'Cuvée Sylvie'2019</v>
      </c>
      <c r="E668">
        <f t="shared" si="43"/>
        <v>1</v>
      </c>
      <c r="F668" t="s">
        <v>1316</v>
      </c>
      <c r="G668" t="s">
        <v>1317</v>
      </c>
      <c r="H668" t="s">
        <v>81</v>
      </c>
      <c r="I668" t="str">
        <f t="shared" si="41"/>
        <v>S000669Domaine Sylvie Esmonin Bourgogne Rouge 'Cuvée Sylvie'2019</v>
      </c>
      <c r="J668">
        <f t="shared" si="44"/>
        <v>1</v>
      </c>
    </row>
    <row r="669" spans="1:10">
      <c r="A669" t="s">
        <v>1318</v>
      </c>
      <c r="B669" t="s">
        <v>1319</v>
      </c>
      <c r="C669" t="s">
        <v>125</v>
      </c>
      <c r="D669" t="str">
        <f t="shared" si="42"/>
        <v>S000670Taittinger 'Collection' Sebastiao Salgado2008</v>
      </c>
      <c r="E669">
        <f t="shared" si="43"/>
        <v>1</v>
      </c>
      <c r="F669" t="s">
        <v>1318</v>
      </c>
      <c r="G669" t="s">
        <v>1319</v>
      </c>
      <c r="H669" t="s">
        <v>125</v>
      </c>
      <c r="I669" t="str">
        <f t="shared" si="41"/>
        <v>S000670Taittinger 'Collection' Sebastiao Salgado2008</v>
      </c>
      <c r="J669">
        <f t="shared" si="44"/>
        <v>1</v>
      </c>
    </row>
    <row r="670" spans="1:10">
      <c r="A670" t="s">
        <v>1320</v>
      </c>
      <c r="B670" t="s">
        <v>1321</v>
      </c>
      <c r="C670" t="s">
        <v>123</v>
      </c>
      <c r="D670" t="str">
        <f t="shared" si="42"/>
        <v>S000671Château Talbot Saint-Julien Quatrième Grand Cru Classé2006</v>
      </c>
      <c r="E670">
        <f t="shared" si="43"/>
        <v>1</v>
      </c>
      <c r="F670" t="s">
        <v>1320</v>
      </c>
      <c r="G670" t="s">
        <v>1321</v>
      </c>
      <c r="H670" t="s">
        <v>123</v>
      </c>
      <c r="I670" t="str">
        <f t="shared" si="41"/>
        <v>S000671Château Talbot Saint-Julien Quatrième Grand Cru Classé2006</v>
      </c>
      <c r="J670">
        <f t="shared" si="44"/>
        <v>1</v>
      </c>
    </row>
    <row r="671" spans="1:10">
      <c r="A671" t="s">
        <v>1322</v>
      </c>
      <c r="B671" t="s">
        <v>1323</v>
      </c>
      <c r="C671" t="s">
        <v>118</v>
      </c>
      <c r="D671" t="str">
        <f t="shared" si="42"/>
        <v>S000672Te Mata Estate 'Alma' Pinot Noir2018</v>
      </c>
      <c r="E671">
        <f t="shared" si="43"/>
        <v>1</v>
      </c>
      <c r="F671" t="s">
        <v>1322</v>
      </c>
      <c r="G671" t="s">
        <v>1323</v>
      </c>
      <c r="H671" t="s">
        <v>118</v>
      </c>
      <c r="I671" t="str">
        <f t="shared" si="41"/>
        <v>S000672Te Mata Estate 'Alma' Pinot Noir2018</v>
      </c>
      <c r="J671">
        <f t="shared" si="44"/>
        <v>1</v>
      </c>
    </row>
    <row r="672" spans="1:10">
      <c r="A672" t="s">
        <v>1324</v>
      </c>
      <c r="B672" t="s">
        <v>1325</v>
      </c>
      <c r="C672" t="s">
        <v>56</v>
      </c>
      <c r="D672" t="str">
        <f t="shared" si="42"/>
        <v>S000673Thomas-Collardot Bourgogne Aligoté2021</v>
      </c>
      <c r="E672">
        <f t="shared" si="43"/>
        <v>1</v>
      </c>
      <c r="F672" t="s">
        <v>1324</v>
      </c>
      <c r="G672" t="s">
        <v>1325</v>
      </c>
      <c r="H672" t="s">
        <v>56</v>
      </c>
      <c r="I672" t="str">
        <f t="shared" si="41"/>
        <v>S000673Thomas-Collardot Bourgogne Aligoté2021</v>
      </c>
      <c r="J672">
        <f t="shared" si="44"/>
        <v>1</v>
      </c>
    </row>
    <row r="673" spans="1:10">
      <c r="A673" t="s">
        <v>1326</v>
      </c>
      <c r="B673" t="s">
        <v>1327</v>
      </c>
      <c r="C673" t="s">
        <v>56</v>
      </c>
      <c r="D673" t="str">
        <f t="shared" si="42"/>
        <v>S000674Thomas-Collardot Bourgogne 'Les Petits Poiriers'2021</v>
      </c>
      <c r="E673">
        <f t="shared" si="43"/>
        <v>1</v>
      </c>
      <c r="F673" t="s">
        <v>1326</v>
      </c>
      <c r="G673" t="s">
        <v>1327</v>
      </c>
      <c r="H673" t="s">
        <v>56</v>
      </c>
      <c r="I673" t="str">
        <f t="shared" si="41"/>
        <v>S000674Thomas-Collardot Bourgogne 'Les Petits Poiriers'2021</v>
      </c>
      <c r="J673">
        <f t="shared" si="44"/>
        <v>1</v>
      </c>
    </row>
    <row r="674" spans="1:10">
      <c r="A674" t="s">
        <v>1328</v>
      </c>
      <c r="B674" t="s">
        <v>1329</v>
      </c>
      <c r="C674" t="s">
        <v>56</v>
      </c>
      <c r="D674" t="str">
        <f t="shared" si="42"/>
        <v>S000675Thomas-Collardot Bourgogne Hautes-Côtes de Beaune2021</v>
      </c>
      <c r="E674">
        <f t="shared" si="43"/>
        <v>1</v>
      </c>
      <c r="F674" t="s">
        <v>1328</v>
      </c>
      <c r="G674" t="s">
        <v>1329</v>
      </c>
      <c r="H674" t="s">
        <v>56</v>
      </c>
      <c r="I674" t="str">
        <f t="shared" si="41"/>
        <v>S000675Thomas-Collardot Bourgogne Hautes-Côtes de Beaune2021</v>
      </c>
      <c r="J674">
        <f t="shared" si="44"/>
        <v>1</v>
      </c>
    </row>
    <row r="675" spans="1:10">
      <c r="A675" t="s">
        <v>1330</v>
      </c>
      <c r="B675" t="s">
        <v>1331</v>
      </c>
      <c r="C675" t="s">
        <v>56</v>
      </c>
      <c r="D675" t="str">
        <f t="shared" si="42"/>
        <v>S000676Thomas-Collardot Puligny-Montrachet 'Les Nosroyes'2021</v>
      </c>
      <c r="E675">
        <f t="shared" si="43"/>
        <v>1</v>
      </c>
      <c r="F675" t="s">
        <v>1330</v>
      </c>
      <c r="G675" t="s">
        <v>1331</v>
      </c>
      <c r="H675" t="s">
        <v>56</v>
      </c>
      <c r="I675" t="str">
        <f t="shared" si="41"/>
        <v>S000676Thomas-Collardot Puligny-Montrachet 'Les Nosroyes'2021</v>
      </c>
      <c r="J675">
        <f t="shared" si="44"/>
        <v>1</v>
      </c>
    </row>
    <row r="676" spans="1:10">
      <c r="A676" t="s">
        <v>1332</v>
      </c>
      <c r="B676" t="s">
        <v>1333</v>
      </c>
      <c r="C676" t="s">
        <v>92</v>
      </c>
      <c r="D676" t="str">
        <f t="shared" si="42"/>
        <v>S000677Château Tour Saint Christophe Saint-Émilion Grand Cru2020</v>
      </c>
      <c r="E676">
        <f t="shared" si="43"/>
        <v>1</v>
      </c>
      <c r="F676" t="s">
        <v>1332</v>
      </c>
      <c r="G676" t="s">
        <v>1333</v>
      </c>
      <c r="H676" t="s">
        <v>92</v>
      </c>
      <c r="I676" t="str">
        <f t="shared" si="41"/>
        <v>S000677Château Tour Saint Christophe Saint-Émilion Grand Cru2020</v>
      </c>
      <c r="J676">
        <f t="shared" si="44"/>
        <v>1</v>
      </c>
    </row>
    <row r="677" spans="1:10">
      <c r="A677" t="s">
        <v>1334</v>
      </c>
      <c r="B677" t="s">
        <v>1335</v>
      </c>
      <c r="C677" t="s">
        <v>121</v>
      </c>
      <c r="D677" t="str">
        <f t="shared" si="42"/>
        <v>S000678Château Troplong Mondot Saint-Émilion Premier Grand Cru Classé2001</v>
      </c>
      <c r="E677">
        <f t="shared" si="43"/>
        <v>1</v>
      </c>
      <c r="F677" t="s">
        <v>1334</v>
      </c>
      <c r="G677" t="s">
        <v>1335</v>
      </c>
      <c r="H677" t="s">
        <v>121</v>
      </c>
      <c r="I677" t="str">
        <f t="shared" si="41"/>
        <v>S000678Château Troplong Mondot Saint-Émilion Premier Grand Cru Classé2001</v>
      </c>
      <c r="J677">
        <f t="shared" si="44"/>
        <v>1</v>
      </c>
    </row>
    <row r="678" spans="1:10">
      <c r="A678" t="s">
        <v>1337</v>
      </c>
      <c r="B678" t="s">
        <v>1338</v>
      </c>
      <c r="C678" t="s">
        <v>129</v>
      </c>
      <c r="D678" t="str">
        <f t="shared" si="42"/>
        <v>S000679Ulysse Collin 'Les Maillons' Blanc de Noirs Extra Brut2016</v>
      </c>
      <c r="E678">
        <f t="shared" si="43"/>
        <v>1</v>
      </c>
      <c r="F678" t="s">
        <v>1337</v>
      </c>
      <c r="G678" t="s">
        <v>1338</v>
      </c>
      <c r="H678" t="s">
        <v>129</v>
      </c>
      <c r="I678" t="str">
        <f t="shared" si="41"/>
        <v>S000679Ulysse Collin 'Les Maillons' Blanc de Noirs Extra Brut2016</v>
      </c>
      <c r="J678">
        <f t="shared" si="44"/>
        <v>1</v>
      </c>
    </row>
    <row r="679" spans="1:10">
      <c r="A679" t="s">
        <v>1339</v>
      </c>
      <c r="B679" t="s">
        <v>1340</v>
      </c>
      <c r="C679" t="s">
        <v>56</v>
      </c>
      <c r="D679" t="str">
        <f t="shared" si="42"/>
        <v>S000680Domaine Vincent Bouzereau Pommard2021</v>
      </c>
      <c r="E679">
        <f t="shared" si="43"/>
        <v>1</v>
      </c>
      <c r="F679" t="s">
        <v>1339</v>
      </c>
      <c r="G679" t="s">
        <v>1340</v>
      </c>
      <c r="H679" t="s">
        <v>56</v>
      </c>
      <c r="I679" t="str">
        <f t="shared" si="41"/>
        <v>S000680Domaine Vincent Bouzereau Pommard2021</v>
      </c>
      <c r="J679">
        <f t="shared" si="44"/>
        <v>1</v>
      </c>
    </row>
    <row r="680" spans="1:10">
      <c r="A680" t="s">
        <v>1341</v>
      </c>
      <c r="B680" t="s">
        <v>1342</v>
      </c>
      <c r="C680" t="s">
        <v>56</v>
      </c>
      <c r="D680" t="str">
        <f t="shared" si="42"/>
        <v>S000681Domaine Vincent Bouzereau Auxey-Duresses 'Les Bas de Duresses'2021</v>
      </c>
      <c r="E680">
        <f t="shared" si="43"/>
        <v>1</v>
      </c>
      <c r="F680" t="s">
        <v>1341</v>
      </c>
      <c r="G680" t="s">
        <v>1342</v>
      </c>
      <c r="H680" t="s">
        <v>56</v>
      </c>
      <c r="I680" t="str">
        <f t="shared" si="41"/>
        <v>S000681Domaine Vincent Bouzereau Auxey-Duresses 'Les Bas de Duresses'2021</v>
      </c>
      <c r="J680">
        <f t="shared" si="44"/>
        <v>1</v>
      </c>
    </row>
    <row r="681" spans="1:10">
      <c r="A681" t="s">
        <v>1343</v>
      </c>
      <c r="B681" t="s">
        <v>1344</v>
      </c>
      <c r="C681" t="s">
        <v>30</v>
      </c>
      <c r="D681" t="str">
        <f t="shared" si="42"/>
        <v>S000682Domaine Vincent Bouzereau Bourgogne Cote d'Or Pinot Noir2022</v>
      </c>
      <c r="E681">
        <f t="shared" si="43"/>
        <v>1</v>
      </c>
      <c r="F681" t="s">
        <v>1343</v>
      </c>
      <c r="G681" t="s">
        <v>1344</v>
      </c>
      <c r="H681" t="s">
        <v>30</v>
      </c>
      <c r="I681" t="str">
        <f t="shared" si="41"/>
        <v>S000682Domaine Vincent Bouzereau Bourgogne Cote d'Or Pinot Noir2022</v>
      </c>
      <c r="J681">
        <f t="shared" si="44"/>
        <v>1</v>
      </c>
    </row>
    <row r="682" spans="1:10">
      <c r="A682" t="s">
        <v>1345</v>
      </c>
      <c r="B682" t="s">
        <v>1346</v>
      </c>
      <c r="C682" t="s">
        <v>30</v>
      </c>
      <c r="D682" t="str">
        <f t="shared" si="42"/>
        <v>S000683Domaine Vincent Bouzereau Coteaux Bourguignons Rouge2022</v>
      </c>
      <c r="E682">
        <f t="shared" si="43"/>
        <v>1</v>
      </c>
      <c r="F682" t="s">
        <v>1345</v>
      </c>
      <c r="G682" t="s">
        <v>1346</v>
      </c>
      <c r="H682" t="s">
        <v>30</v>
      </c>
      <c r="I682" t="str">
        <f t="shared" si="41"/>
        <v>S000683Domaine Vincent Bouzereau Coteaux Bourguignons Rouge2022</v>
      </c>
      <c r="J682">
        <f t="shared" si="44"/>
        <v>1</v>
      </c>
    </row>
    <row r="683" spans="1:10">
      <c r="A683" t="s">
        <v>1347</v>
      </c>
      <c r="B683" t="s">
        <v>1348</v>
      </c>
      <c r="C683" t="s">
        <v>56</v>
      </c>
      <c r="D683" t="str">
        <f t="shared" si="42"/>
        <v>S000684Domaine Vincent Bouzereau Meursault2021</v>
      </c>
      <c r="E683">
        <f t="shared" si="43"/>
        <v>1</v>
      </c>
      <c r="F683" t="s">
        <v>1347</v>
      </c>
      <c r="G683" t="s">
        <v>1348</v>
      </c>
      <c r="H683" t="s">
        <v>56</v>
      </c>
      <c r="I683" t="str">
        <f t="shared" si="41"/>
        <v>S000684Domaine Vincent Bouzereau Meursault2021</v>
      </c>
      <c r="J683">
        <f t="shared" si="44"/>
        <v>1</v>
      </c>
    </row>
    <row r="684" spans="1:10">
      <c r="A684" t="s">
        <v>1349</v>
      </c>
      <c r="B684" t="s">
        <v>1350</v>
      </c>
      <c r="C684" t="s">
        <v>92</v>
      </c>
      <c r="D684" t="str">
        <f t="shared" si="42"/>
        <v>S000685Domaine de la Vougeraie Batard-Montrachet Grand Cru2020</v>
      </c>
      <c r="E684">
        <f t="shared" si="43"/>
        <v>1</v>
      </c>
      <c r="F684" t="s">
        <v>1349</v>
      </c>
      <c r="G684" t="s">
        <v>1350</v>
      </c>
      <c r="H684" t="s">
        <v>92</v>
      </c>
      <c r="I684" t="str">
        <f t="shared" si="41"/>
        <v>S000685Domaine de la Vougeraie Batard-Montrachet Grand Cru2020</v>
      </c>
      <c r="J684">
        <f t="shared" si="44"/>
        <v>1</v>
      </c>
    </row>
    <row r="685" spans="1:10">
      <c r="A685" t="s">
        <v>1351</v>
      </c>
      <c r="B685" t="s">
        <v>1352</v>
      </c>
      <c r="C685" t="s">
        <v>92</v>
      </c>
      <c r="D685" t="str">
        <f t="shared" si="42"/>
        <v>S000686Domaine de la Vougeraie Clos-de-Vougeot Grand Cru2020</v>
      </c>
      <c r="E685">
        <f t="shared" si="43"/>
        <v>1</v>
      </c>
      <c r="F685" t="s">
        <v>1351</v>
      </c>
      <c r="G685" t="s">
        <v>1352</v>
      </c>
      <c r="H685" t="s">
        <v>92</v>
      </c>
      <c r="I685" t="str">
        <f t="shared" si="41"/>
        <v>S000686Domaine de la Vougeraie Clos-de-Vougeot Grand Cru2020</v>
      </c>
      <c r="J685">
        <f t="shared" si="44"/>
        <v>1</v>
      </c>
    </row>
    <row r="686" spans="1:10">
      <c r="A686" t="s">
        <v>1353</v>
      </c>
      <c r="B686" t="s">
        <v>1354</v>
      </c>
      <c r="C686" t="s">
        <v>92</v>
      </c>
      <c r="D686" t="str">
        <f t="shared" si="42"/>
        <v>S000687Domaine de la Vougeraie Corton Clos du Roi Grand Cru2020</v>
      </c>
      <c r="E686">
        <f t="shared" si="43"/>
        <v>1</v>
      </c>
      <c r="F686" t="s">
        <v>1353</v>
      </c>
      <c r="G686" t="s">
        <v>1354</v>
      </c>
      <c r="H686" t="s">
        <v>92</v>
      </c>
      <c r="I686" t="str">
        <f t="shared" si="41"/>
        <v>S000687Domaine de la Vougeraie Corton Clos du Roi Grand Cru2020</v>
      </c>
      <c r="J686">
        <f t="shared" si="44"/>
        <v>1</v>
      </c>
    </row>
    <row r="687" spans="1:10">
      <c r="A687" t="s">
        <v>1355</v>
      </c>
      <c r="B687" t="s">
        <v>1356</v>
      </c>
      <c r="C687" t="s">
        <v>127</v>
      </c>
      <c r="D687" t="str">
        <f t="shared" si="42"/>
        <v>S000688Domaine de la Vougeraie Bonnes-Mares Grand Cru2009</v>
      </c>
      <c r="E687">
        <f t="shared" si="43"/>
        <v>1</v>
      </c>
      <c r="F687" t="s">
        <v>1355</v>
      </c>
      <c r="G687" t="s">
        <v>1356</v>
      </c>
      <c r="H687" t="s">
        <v>127</v>
      </c>
      <c r="I687" t="str">
        <f t="shared" si="41"/>
        <v>S000688Domaine de la Vougeraie Bonnes-Mares Grand Cru2009</v>
      </c>
      <c r="J687">
        <f t="shared" si="44"/>
        <v>1</v>
      </c>
    </row>
    <row r="688" spans="1:10">
      <c r="A688" t="s">
        <v>1357</v>
      </c>
      <c r="B688" t="s">
        <v>1356</v>
      </c>
      <c r="C688" t="s">
        <v>118</v>
      </c>
      <c r="D688" t="str">
        <f t="shared" si="42"/>
        <v>S000689Domaine de la Vougeraie Bonnes-Mares Grand Cru2018</v>
      </c>
      <c r="E688">
        <f t="shared" si="43"/>
        <v>1</v>
      </c>
      <c r="F688" t="s">
        <v>1357</v>
      </c>
      <c r="G688" t="s">
        <v>1356</v>
      </c>
      <c r="H688" t="s">
        <v>118</v>
      </c>
      <c r="I688" t="str">
        <f t="shared" si="41"/>
        <v>S000689Domaine de la Vougeraie Bonnes-Mares Grand Cru2018</v>
      </c>
      <c r="J688">
        <f t="shared" si="44"/>
        <v>1</v>
      </c>
    </row>
    <row r="689" spans="1:10">
      <c r="A689" t="s">
        <v>1358</v>
      </c>
      <c r="B689" t="s">
        <v>1356</v>
      </c>
      <c r="C689" t="s">
        <v>81</v>
      </c>
      <c r="D689" t="str">
        <f t="shared" si="42"/>
        <v>S000690Domaine de la Vougeraie Bonnes-Mares Grand Cru2019</v>
      </c>
      <c r="E689">
        <f t="shared" si="43"/>
        <v>1</v>
      </c>
      <c r="F689" t="s">
        <v>1358</v>
      </c>
      <c r="G689" t="s">
        <v>1356</v>
      </c>
      <c r="H689" t="s">
        <v>81</v>
      </c>
      <c r="I689" t="str">
        <f t="shared" si="41"/>
        <v>S000690Domaine de la Vougeraie Bonnes-Mares Grand Cru2019</v>
      </c>
      <c r="J689">
        <f t="shared" si="44"/>
        <v>1</v>
      </c>
    </row>
    <row r="690" spans="1:10">
      <c r="A690" t="s">
        <v>1359</v>
      </c>
      <c r="B690" t="s">
        <v>1360</v>
      </c>
      <c r="C690" t="s">
        <v>118</v>
      </c>
      <c r="D690" t="str">
        <f t="shared" si="42"/>
        <v>S000691Domaine de la Vougeraie Charmes-Chambertin 'Les Mazoyères' Grand Cru2018</v>
      </c>
      <c r="E690">
        <f t="shared" si="43"/>
        <v>1</v>
      </c>
      <c r="F690" t="s">
        <v>1359</v>
      </c>
      <c r="G690" t="s">
        <v>1360</v>
      </c>
      <c r="H690" t="s">
        <v>118</v>
      </c>
      <c r="I690" t="str">
        <f t="shared" si="41"/>
        <v>S000691Domaine de la Vougeraie Charmes-Chambertin 'Les Mazoyères' Grand Cru2018</v>
      </c>
      <c r="J690">
        <f t="shared" si="44"/>
        <v>1</v>
      </c>
    </row>
    <row r="691" spans="1:10">
      <c r="A691" t="s">
        <v>1361</v>
      </c>
      <c r="B691" t="s">
        <v>1362</v>
      </c>
      <c r="C691" t="s">
        <v>56</v>
      </c>
      <c r="D691" t="str">
        <f t="shared" si="42"/>
        <v>S000692Domaine de la Vougeraie Chassagne-Montrachet Morgeot 'Clos de la Chapelle' Blanc2021</v>
      </c>
      <c r="E691">
        <f t="shared" si="43"/>
        <v>1</v>
      </c>
      <c r="F691" t="s">
        <v>1361</v>
      </c>
      <c r="G691" t="s">
        <v>1362</v>
      </c>
      <c r="H691" t="s">
        <v>56</v>
      </c>
      <c r="I691" t="str">
        <f t="shared" si="41"/>
        <v>S000692Domaine de la Vougeraie Chassagne-Montrachet Morgeot 'Clos de la Chapelle' Blanc2021</v>
      </c>
      <c r="J691">
        <f t="shared" si="44"/>
        <v>1</v>
      </c>
    </row>
    <row r="692" spans="1:10">
      <c r="A692" t="s">
        <v>1363</v>
      </c>
      <c r="B692" t="s">
        <v>1362</v>
      </c>
      <c r="C692" t="s">
        <v>30</v>
      </c>
      <c r="D692" t="str">
        <f t="shared" si="42"/>
        <v>S000693Domaine de la Vougeraie Chassagne-Montrachet Morgeot 'Clos de la Chapelle' Blanc2022</v>
      </c>
      <c r="E692">
        <f t="shared" si="43"/>
        <v>1</v>
      </c>
      <c r="F692" t="s">
        <v>1363</v>
      </c>
      <c r="G692" t="s">
        <v>1362</v>
      </c>
      <c r="H692" t="s">
        <v>30</v>
      </c>
      <c r="I692" t="str">
        <f t="shared" si="41"/>
        <v>S000693Domaine de la Vougeraie Chassagne-Montrachet Morgeot 'Clos de la Chapelle' Blanc2022</v>
      </c>
      <c r="J692">
        <f t="shared" si="44"/>
        <v>1</v>
      </c>
    </row>
    <row r="693" spans="1:10">
      <c r="A693" t="s">
        <v>1364</v>
      </c>
      <c r="B693" t="s">
        <v>1352</v>
      </c>
      <c r="C693" t="s">
        <v>273</v>
      </c>
      <c r="D693" t="str">
        <f t="shared" si="42"/>
        <v>S000694Domaine de la Vougeraie Clos-de-Vougeot Grand Cru2005</v>
      </c>
      <c r="E693">
        <f t="shared" si="43"/>
        <v>1</v>
      </c>
      <c r="F693" t="s">
        <v>1364</v>
      </c>
      <c r="G693" t="s">
        <v>1352</v>
      </c>
      <c r="H693" t="s">
        <v>273</v>
      </c>
      <c r="I693" t="str">
        <f t="shared" si="41"/>
        <v>S000694Domaine de la Vougeraie Clos-de-Vougeot Grand Cru2005</v>
      </c>
      <c r="J693">
        <f t="shared" si="44"/>
        <v>1</v>
      </c>
    </row>
    <row r="694" spans="1:10">
      <c r="A694" t="s">
        <v>1365</v>
      </c>
      <c r="B694" t="s">
        <v>1352</v>
      </c>
      <c r="C694" t="s">
        <v>114</v>
      </c>
      <c r="D694" t="str">
        <f t="shared" si="42"/>
        <v>S000695Domaine de la Vougeraie Clos-de-Vougeot Grand Cru2014</v>
      </c>
      <c r="E694">
        <f t="shared" si="43"/>
        <v>1</v>
      </c>
      <c r="F694" t="s">
        <v>1365</v>
      </c>
      <c r="G694" t="s">
        <v>1352</v>
      </c>
      <c r="H694" t="s">
        <v>114</v>
      </c>
      <c r="I694" t="str">
        <f t="shared" si="41"/>
        <v>S000695Domaine de la Vougeraie Clos-de-Vougeot Grand Cru2014</v>
      </c>
      <c r="J694">
        <f t="shared" si="44"/>
        <v>1</v>
      </c>
    </row>
    <row r="695" spans="1:10">
      <c r="A695" t="s">
        <v>1366</v>
      </c>
      <c r="B695" t="s">
        <v>1367</v>
      </c>
      <c r="C695" t="s">
        <v>56</v>
      </c>
      <c r="D695" t="str">
        <f t="shared" si="42"/>
        <v>S000696Domaine de la Vougeraie Gevrey-Chambertin2021</v>
      </c>
      <c r="E695">
        <f t="shared" si="43"/>
        <v>1</v>
      </c>
      <c r="F695" t="s">
        <v>1366</v>
      </c>
      <c r="G695" t="s">
        <v>1367</v>
      </c>
      <c r="H695" t="s">
        <v>56</v>
      </c>
      <c r="I695" t="str">
        <f t="shared" si="41"/>
        <v>S000696Domaine de la Vougeraie Gevrey-Chambertin2021</v>
      </c>
      <c r="J695">
        <f t="shared" si="44"/>
        <v>1</v>
      </c>
    </row>
    <row r="696" spans="1:10">
      <c r="A696" t="s">
        <v>1368</v>
      </c>
      <c r="B696" t="s">
        <v>1369</v>
      </c>
      <c r="C696" t="s">
        <v>92</v>
      </c>
      <c r="D696" t="str">
        <f t="shared" si="42"/>
        <v>S000697Domaine de la Vougeraie Gevrey-Chambertin 'Les Evocelles'2020</v>
      </c>
      <c r="E696">
        <f t="shared" si="43"/>
        <v>1</v>
      </c>
      <c r="F696" t="s">
        <v>1368</v>
      </c>
      <c r="G696" t="s">
        <v>1369</v>
      </c>
      <c r="H696" t="s">
        <v>92</v>
      </c>
      <c r="I696" t="str">
        <f t="shared" si="41"/>
        <v>S000697Domaine de la Vougeraie Gevrey-Chambertin 'Les Evocelles'2020</v>
      </c>
      <c r="J696">
        <f t="shared" si="44"/>
        <v>1</v>
      </c>
    </row>
    <row r="697" spans="1:10">
      <c r="A697" t="s">
        <v>1370</v>
      </c>
      <c r="B697" t="s">
        <v>1369</v>
      </c>
      <c r="C697" t="s">
        <v>30</v>
      </c>
      <c r="D697" t="str">
        <f t="shared" si="42"/>
        <v>S000698Domaine de la Vougeraie Gevrey-Chambertin 'Les Evocelles'2022</v>
      </c>
      <c r="E697">
        <f t="shared" si="43"/>
        <v>1</v>
      </c>
      <c r="F697" t="s">
        <v>1370</v>
      </c>
      <c r="G697" t="s">
        <v>1369</v>
      </c>
      <c r="H697" t="s">
        <v>30</v>
      </c>
      <c r="I697" t="str">
        <f t="shared" si="41"/>
        <v>S000698Domaine de la Vougeraie Gevrey-Chambertin 'Les Evocelles'2022</v>
      </c>
      <c r="J697">
        <f t="shared" si="44"/>
        <v>1</v>
      </c>
    </row>
    <row r="698" spans="1:10">
      <c r="A698" t="s">
        <v>1371</v>
      </c>
      <c r="B698" t="s">
        <v>1360</v>
      </c>
      <c r="C698" t="s">
        <v>137</v>
      </c>
      <c r="D698" t="str">
        <f t="shared" si="42"/>
        <v>S000699Domaine de la Vougeraie Charmes-Chambertin 'Les Mazoyères' Grand Cru2017</v>
      </c>
      <c r="E698">
        <f t="shared" si="43"/>
        <v>1</v>
      </c>
      <c r="F698" t="s">
        <v>1371</v>
      </c>
      <c r="G698" t="s">
        <v>1360</v>
      </c>
      <c r="H698" t="s">
        <v>137</v>
      </c>
      <c r="I698" t="str">
        <f t="shared" si="41"/>
        <v>S000699Domaine de la Vougeraie Charmes-Chambertin 'Les Mazoyères' Grand Cru2017</v>
      </c>
      <c r="J698">
        <f t="shared" si="44"/>
        <v>1</v>
      </c>
    </row>
    <row r="699" spans="1:10">
      <c r="A699" t="s">
        <v>1372</v>
      </c>
      <c r="B699" t="s">
        <v>1373</v>
      </c>
      <c r="C699" t="s">
        <v>222</v>
      </c>
      <c r="D699" t="str">
        <f t="shared" si="42"/>
        <v>S000700Domaine de la Vougeraie Nuits-Saint-Georges 'Les Damodes' Premier Cru2015</v>
      </c>
      <c r="E699">
        <f t="shared" si="43"/>
        <v>1</v>
      </c>
      <c r="F699" t="s">
        <v>1372</v>
      </c>
      <c r="G699" t="s">
        <v>1373</v>
      </c>
      <c r="H699" t="s">
        <v>222</v>
      </c>
      <c r="I699" t="str">
        <f t="shared" si="41"/>
        <v>S000700Domaine de la Vougeraie Nuits-Saint-Georges 'Les Damodes' Premier Cru2015</v>
      </c>
      <c r="J699">
        <f t="shared" si="44"/>
        <v>1</v>
      </c>
    </row>
    <row r="700" spans="1:10">
      <c r="A700" t="s">
        <v>1374</v>
      </c>
      <c r="B700" t="s">
        <v>1375</v>
      </c>
      <c r="C700" t="s">
        <v>56</v>
      </c>
      <c r="D700" t="str">
        <f t="shared" si="42"/>
        <v>S000701Domaine de la Vougeraie Vougeot 'Les Cras' Premier Cru2021</v>
      </c>
      <c r="E700">
        <f t="shared" si="43"/>
        <v>1</v>
      </c>
      <c r="F700" t="s">
        <v>1374</v>
      </c>
      <c r="G700" t="s">
        <v>1375</v>
      </c>
      <c r="H700" t="s">
        <v>56</v>
      </c>
      <c r="I700" t="str">
        <f t="shared" si="41"/>
        <v>S000701Domaine de la Vougeraie Vougeot 'Les Cras' Premier Cru2021</v>
      </c>
      <c r="J700">
        <f t="shared" si="44"/>
        <v>1</v>
      </c>
    </row>
    <row r="701" spans="1:10">
      <c r="A701" t="s">
        <v>1376</v>
      </c>
      <c r="B701" t="s">
        <v>1375</v>
      </c>
      <c r="C701" t="s">
        <v>30</v>
      </c>
      <c r="D701" t="str">
        <f t="shared" si="42"/>
        <v>S000702Domaine de la Vougeraie Vougeot 'Les Cras' Premier Cru2022</v>
      </c>
      <c r="E701">
        <f t="shared" si="43"/>
        <v>1</v>
      </c>
      <c r="F701" t="s">
        <v>1376</v>
      </c>
      <c r="G701" t="s">
        <v>1375</v>
      </c>
      <c r="H701" t="s">
        <v>30</v>
      </c>
      <c r="I701" t="str">
        <f t="shared" si="41"/>
        <v>S000702Domaine de la Vougeraie Vougeot 'Les Cras' Premier Cru2022</v>
      </c>
      <c r="J701">
        <f t="shared" si="44"/>
        <v>1</v>
      </c>
    </row>
    <row r="702" spans="1:10">
      <c r="A702" t="s">
        <v>1377</v>
      </c>
      <c r="B702" t="s">
        <v>1378</v>
      </c>
      <c r="C702" t="s">
        <v>289</v>
      </c>
      <c r="D702" t="str">
        <f t="shared" si="42"/>
        <v>S000703Weingut Keller 'Dalsheimer Hubacker' Riesling Grosses Gewächs2023</v>
      </c>
      <c r="E702">
        <f t="shared" si="43"/>
        <v>1</v>
      </c>
      <c r="F702" t="s">
        <v>1377</v>
      </c>
      <c r="G702" t="s">
        <v>1378</v>
      </c>
      <c r="H702" t="s">
        <v>289</v>
      </c>
      <c r="I702" t="str">
        <f t="shared" si="41"/>
        <v>S000703Weingut Keller 'Dalsheimer Hubacker' Riesling Grosses Gewächs2023</v>
      </c>
      <c r="J702">
        <f t="shared" si="44"/>
        <v>1</v>
      </c>
    </row>
    <row r="703" spans="1:10">
      <c r="A703" t="s">
        <v>1379</v>
      </c>
      <c r="B703" t="s">
        <v>1380</v>
      </c>
      <c r="C703" t="s">
        <v>30</v>
      </c>
      <c r="D703" t="str">
        <f t="shared" si="42"/>
        <v>S000704Weingut Keller Westhofener Brunnenhäuschen 'Abts Erde' Riesling Kabinett2022</v>
      </c>
      <c r="E703">
        <f t="shared" si="43"/>
        <v>1</v>
      </c>
      <c r="F703" t="s">
        <v>1379</v>
      </c>
      <c r="G703" t="s">
        <v>1380</v>
      </c>
      <c r="H703" t="s">
        <v>30</v>
      </c>
      <c r="I703" t="str">
        <f t="shared" si="41"/>
        <v>S000704Weingut Keller Westhofener Brunnenhäuschen 'Abts Erde' Riesling Kabinett2022</v>
      </c>
      <c r="J703">
        <f t="shared" si="44"/>
        <v>1</v>
      </c>
    </row>
    <row r="704" spans="1:10">
      <c r="A704" t="s">
        <v>1383</v>
      </c>
      <c r="B704" t="s">
        <v>1384</v>
      </c>
      <c r="C704" t="s">
        <v>30</v>
      </c>
      <c r="D704" t="str">
        <f t="shared" si="42"/>
        <v>S000705Weingut Keller Westhofener Kirchspiel Riesling Grosses Gewächs2022</v>
      </c>
      <c r="E704">
        <f t="shared" si="43"/>
        <v>1</v>
      </c>
      <c r="F704" t="s">
        <v>1383</v>
      </c>
      <c r="G704" t="s">
        <v>1384</v>
      </c>
      <c r="H704" t="s">
        <v>30</v>
      </c>
      <c r="I704" t="str">
        <f t="shared" si="41"/>
        <v>S000705Weingut Keller Westhofener Kirchspiel Riesling Grosses Gewächs2022</v>
      </c>
      <c r="J704">
        <f t="shared" si="44"/>
        <v>1</v>
      </c>
    </row>
    <row r="705" spans="1:10">
      <c r="A705" t="s">
        <v>1385</v>
      </c>
      <c r="B705" t="s">
        <v>1386</v>
      </c>
      <c r="C705" t="s">
        <v>118</v>
      </c>
      <c r="D705" t="str">
        <f t="shared" si="42"/>
        <v>S000706Weingut Rappenhof 'Herrenberg' Riesling Grosses Gewächs2018</v>
      </c>
      <c r="E705">
        <f t="shared" si="43"/>
        <v>1</v>
      </c>
      <c r="F705" t="s">
        <v>1385</v>
      </c>
      <c r="G705" t="s">
        <v>1386</v>
      </c>
      <c r="H705" t="s">
        <v>118</v>
      </c>
      <c r="I705" t="str">
        <f t="shared" ref="I705:I709" si="45">F705&amp;G705&amp;H705</f>
        <v>S000706Weingut Rappenhof 'Herrenberg' Riesling Grosses Gewächs2018</v>
      </c>
      <c r="J705">
        <f t="shared" si="44"/>
        <v>1</v>
      </c>
    </row>
    <row r="706" spans="1:10">
      <c r="A706" t="s">
        <v>1387</v>
      </c>
      <c r="B706" t="s">
        <v>1388</v>
      </c>
      <c r="C706" t="s">
        <v>1028</v>
      </c>
      <c r="D706" t="str">
        <f t="shared" si="42"/>
        <v>S000707Weingut Rappenhof 'Niersteiner Pettenthal' Riesling Auslese1992</v>
      </c>
      <c r="E706">
        <f t="shared" si="43"/>
        <v>1</v>
      </c>
      <c r="F706" t="s">
        <v>1387</v>
      </c>
      <c r="G706" t="s">
        <v>1388</v>
      </c>
      <c r="H706" t="s">
        <v>1028</v>
      </c>
      <c r="I706" t="str">
        <f t="shared" si="45"/>
        <v>S000707Weingut Rappenhof 'Niersteiner Pettenthal' Riesling Auslese1992</v>
      </c>
      <c r="J706">
        <f t="shared" si="44"/>
        <v>1</v>
      </c>
    </row>
    <row r="707" spans="1:10">
      <c r="A707" t="s">
        <v>1389</v>
      </c>
      <c r="B707" t="s">
        <v>1390</v>
      </c>
      <c r="C707" t="s">
        <v>123</v>
      </c>
      <c r="D707" t="str">
        <f t="shared" ref="D707:D709" si="46">A707&amp;B707&amp;C707</f>
        <v>S000708Benoit Michel Extra Brut Millesime2006</v>
      </c>
      <c r="E707">
        <f t="shared" ref="E707:E770" si="47">IF(A707=F707,1,0)</f>
        <v>1</v>
      </c>
      <c r="F707" t="s">
        <v>1389</v>
      </c>
      <c r="G707" t="s">
        <v>1390</v>
      </c>
      <c r="H707" t="s">
        <v>123</v>
      </c>
      <c r="I707" t="str">
        <f t="shared" si="45"/>
        <v>S000708Benoit Michel Extra Brut Millesime2006</v>
      </c>
      <c r="J707">
        <f t="shared" ref="J707:J770" si="48">IF(D707=I707,1,0)</f>
        <v>1</v>
      </c>
    </row>
    <row r="708" spans="1:10">
      <c r="A708" t="s">
        <v>1391</v>
      </c>
      <c r="B708" t="s">
        <v>1392</v>
      </c>
      <c r="C708" t="s">
        <v>123</v>
      </c>
      <c r="D708" t="str">
        <f t="shared" si="46"/>
        <v>S000709Benoit Michel 'Esprit de Cave' Chardonnay Extra Brut2006</v>
      </c>
      <c r="E708">
        <f t="shared" si="47"/>
        <v>1</v>
      </c>
      <c r="F708" t="s">
        <v>1391</v>
      </c>
      <c r="G708" t="s">
        <v>1392</v>
      </c>
      <c r="H708" t="s">
        <v>123</v>
      </c>
      <c r="I708" t="str">
        <f t="shared" si="45"/>
        <v>S000709Benoit Michel 'Esprit de Cave' Chardonnay Extra Brut2006</v>
      </c>
      <c r="J708">
        <f t="shared" si="48"/>
        <v>1</v>
      </c>
    </row>
    <row r="709" spans="1:10">
      <c r="A709" t="s">
        <v>1393</v>
      </c>
      <c r="B709" t="s">
        <v>1394</v>
      </c>
      <c r="C709" t="s">
        <v>917</v>
      </c>
      <c r="D709" t="str">
        <f t="shared" si="46"/>
        <v>S000710Guy Michel &amp; Fils Brut Millesime 1998</v>
      </c>
      <c r="E709">
        <f t="shared" si="47"/>
        <v>1</v>
      </c>
      <c r="F709" t="s">
        <v>1393</v>
      </c>
      <c r="G709" t="s">
        <v>1394</v>
      </c>
      <c r="H709" t="s">
        <v>917</v>
      </c>
      <c r="I709" t="str">
        <f t="shared" si="45"/>
        <v>S000710Guy Michel &amp; Fils Brut Millesime 1998</v>
      </c>
      <c r="J709">
        <f t="shared" si="48"/>
        <v>1</v>
      </c>
    </row>
    <row r="710" spans="1:10">
      <c r="A710" t="s">
        <v>1395</v>
      </c>
      <c r="B710" t="s">
        <v>1396</v>
      </c>
      <c r="C710" t="s">
        <v>144</v>
      </c>
      <c r="D710" t="str">
        <f>B710&amp;C710</f>
        <v>Waris et Filles 'Premices' Brut Grand CruNV</v>
      </c>
      <c r="E710">
        <f t="shared" si="47"/>
        <v>1</v>
      </c>
      <c r="F710" t="s">
        <v>1395</v>
      </c>
      <c r="G710" t="s">
        <v>1396</v>
      </c>
      <c r="H710" t="s">
        <v>144</v>
      </c>
      <c r="I710" t="str">
        <f>G710&amp;H710</f>
        <v>Waris et Filles 'Premices' Brut Grand CruNV</v>
      </c>
      <c r="J710">
        <f t="shared" si="48"/>
        <v>1</v>
      </c>
    </row>
    <row r="711" spans="1:10">
      <c r="A711" t="s">
        <v>1397</v>
      </c>
      <c r="B711" t="s">
        <v>1398</v>
      </c>
      <c r="C711" t="s">
        <v>144</v>
      </c>
      <c r="D711" t="str">
        <f t="shared" ref="D711:D774" si="49">B711&amp;C711</f>
        <v>Waris et Filles 'Heritage' BrutNV</v>
      </c>
      <c r="E711">
        <f t="shared" si="47"/>
        <v>1</v>
      </c>
      <c r="F711" t="s">
        <v>1397</v>
      </c>
      <c r="G711" t="s">
        <v>1398</v>
      </c>
      <c r="H711" t="s">
        <v>144</v>
      </c>
      <c r="I711" t="str">
        <f t="shared" ref="I711:I774" si="50">G711&amp;H711</f>
        <v>Waris et Filles 'Heritage' BrutNV</v>
      </c>
      <c r="J711">
        <f t="shared" si="48"/>
        <v>1</v>
      </c>
    </row>
    <row r="712" spans="1:10">
      <c r="A712" t="s">
        <v>1400</v>
      </c>
      <c r="B712" t="s">
        <v>1401</v>
      </c>
      <c r="C712" t="s">
        <v>144</v>
      </c>
      <c r="D712" t="str">
        <f t="shared" si="49"/>
        <v>Waris et Filles Blanc de Noirs BrutNV</v>
      </c>
      <c r="E712">
        <f t="shared" si="47"/>
        <v>1</v>
      </c>
      <c r="F712" t="s">
        <v>1400</v>
      </c>
      <c r="G712" t="s">
        <v>1401</v>
      </c>
      <c r="H712" t="s">
        <v>144</v>
      </c>
      <c r="I712" t="str">
        <f t="shared" si="50"/>
        <v>Waris et Filles Blanc de Noirs BrutNV</v>
      </c>
      <c r="J712">
        <f t="shared" si="48"/>
        <v>1</v>
      </c>
    </row>
    <row r="713" spans="1:10">
      <c r="A713" t="s">
        <v>1402</v>
      </c>
      <c r="B713" t="s">
        <v>1396</v>
      </c>
      <c r="C713" t="s">
        <v>144</v>
      </c>
      <c r="D713" t="str">
        <f t="shared" si="49"/>
        <v>Waris et Filles 'Premices' Brut Grand CruNV</v>
      </c>
      <c r="E713">
        <f t="shared" si="47"/>
        <v>1</v>
      </c>
      <c r="F713" t="s">
        <v>1402</v>
      </c>
      <c r="G713" t="s">
        <v>1396</v>
      </c>
      <c r="H713" t="s">
        <v>144</v>
      </c>
      <c r="I713" t="str">
        <f t="shared" si="50"/>
        <v>Waris et Filles 'Premices' Brut Grand CruNV</v>
      </c>
      <c r="J713">
        <f t="shared" si="48"/>
        <v>1</v>
      </c>
    </row>
    <row r="714" spans="1:10">
      <c r="A714" t="s">
        <v>1403</v>
      </c>
      <c r="B714" t="s">
        <v>1396</v>
      </c>
      <c r="C714" t="s">
        <v>144</v>
      </c>
      <c r="D714" t="str">
        <f t="shared" si="49"/>
        <v>Waris et Filles 'Premices' Brut Grand CruNV</v>
      </c>
      <c r="E714">
        <f t="shared" si="47"/>
        <v>1</v>
      </c>
      <c r="F714" t="s">
        <v>1403</v>
      </c>
      <c r="G714" t="s">
        <v>1396</v>
      </c>
      <c r="H714" t="s">
        <v>144</v>
      </c>
      <c r="I714" t="str">
        <f t="shared" si="50"/>
        <v>Waris et Filles 'Premices' Brut Grand CruNV</v>
      </c>
      <c r="J714">
        <f t="shared" si="48"/>
        <v>1</v>
      </c>
    </row>
    <row r="715" spans="1:10">
      <c r="A715" t="s">
        <v>1404</v>
      </c>
      <c r="B715" t="s">
        <v>1405</v>
      </c>
      <c r="C715" t="s">
        <v>289</v>
      </c>
      <c r="D715" t="str">
        <f t="shared" si="49"/>
        <v>Domaine De La Choupette Bourgogne Côte d'Or Rouge2023</v>
      </c>
      <c r="E715">
        <f t="shared" si="47"/>
        <v>1</v>
      </c>
      <c r="F715" t="s">
        <v>1404</v>
      </c>
      <c r="G715" t="s">
        <v>1405</v>
      </c>
      <c r="H715">
        <v>2023</v>
      </c>
      <c r="I715" t="str">
        <f t="shared" si="50"/>
        <v>Domaine De La Choupette Bourgogne Côte d'Or Rouge2023</v>
      </c>
      <c r="J715">
        <f t="shared" si="48"/>
        <v>1</v>
      </c>
    </row>
    <row r="716" spans="1:10">
      <c r="A716" t="s">
        <v>1406</v>
      </c>
      <c r="B716" t="s">
        <v>1407</v>
      </c>
      <c r="C716" t="s">
        <v>30</v>
      </c>
      <c r="D716" t="str">
        <f t="shared" si="49"/>
        <v>Domaine De La Choupette Maranges Vieilles Vignes2022</v>
      </c>
      <c r="E716">
        <f t="shared" si="47"/>
        <v>1</v>
      </c>
      <c r="F716" t="s">
        <v>1406</v>
      </c>
      <c r="G716" t="s">
        <v>1407</v>
      </c>
      <c r="H716">
        <v>2022</v>
      </c>
      <c r="I716" t="str">
        <f t="shared" si="50"/>
        <v>Domaine De La Choupette Maranges Vieilles Vignes2022</v>
      </c>
      <c r="J716">
        <f t="shared" si="48"/>
        <v>1</v>
      </c>
    </row>
    <row r="717" spans="1:10">
      <c r="A717" t="s">
        <v>1408</v>
      </c>
      <c r="B717" t="s">
        <v>1407</v>
      </c>
      <c r="C717" t="s">
        <v>289</v>
      </c>
      <c r="D717" t="str">
        <f t="shared" si="49"/>
        <v>Domaine De La Choupette Maranges Vieilles Vignes2023</v>
      </c>
      <c r="E717">
        <f t="shared" si="47"/>
        <v>1</v>
      </c>
      <c r="F717" t="s">
        <v>1408</v>
      </c>
      <c r="G717" t="s">
        <v>1407</v>
      </c>
      <c r="H717">
        <v>2023</v>
      </c>
      <c r="I717" t="str">
        <f t="shared" si="50"/>
        <v>Domaine De La Choupette Maranges Vieilles Vignes2023</v>
      </c>
      <c r="J717">
        <f t="shared" si="48"/>
        <v>1</v>
      </c>
    </row>
    <row r="718" spans="1:10">
      <c r="A718" t="s">
        <v>1409</v>
      </c>
      <c r="B718" t="s">
        <v>1410</v>
      </c>
      <c r="C718" t="s">
        <v>30</v>
      </c>
      <c r="D718" t="str">
        <f t="shared" si="49"/>
        <v>Domaine De La Choupette Santenay 'Commes Dessus'2022</v>
      </c>
      <c r="E718">
        <f t="shared" si="47"/>
        <v>1</v>
      </c>
      <c r="F718" t="s">
        <v>1409</v>
      </c>
      <c r="G718" t="s">
        <v>1410</v>
      </c>
      <c r="H718">
        <v>2022</v>
      </c>
      <c r="I718" t="str">
        <f t="shared" si="50"/>
        <v>Domaine De La Choupette Santenay 'Commes Dessus'2022</v>
      </c>
      <c r="J718">
        <f t="shared" si="48"/>
        <v>1</v>
      </c>
    </row>
    <row r="719" spans="1:10">
      <c r="A719" t="s">
        <v>1411</v>
      </c>
      <c r="B719" t="s">
        <v>1410</v>
      </c>
      <c r="C719" t="s">
        <v>289</v>
      </c>
      <c r="D719" t="str">
        <f t="shared" si="49"/>
        <v>Domaine De La Choupette Santenay 'Commes Dessus'2023</v>
      </c>
      <c r="E719">
        <f t="shared" si="47"/>
        <v>1</v>
      </c>
      <c r="F719" t="s">
        <v>1411</v>
      </c>
      <c r="G719" t="s">
        <v>1410</v>
      </c>
      <c r="H719">
        <v>2023</v>
      </c>
      <c r="I719" t="str">
        <f t="shared" si="50"/>
        <v>Domaine De La Choupette Santenay 'Commes Dessus'2023</v>
      </c>
      <c r="J719">
        <f t="shared" si="48"/>
        <v>1</v>
      </c>
    </row>
    <row r="720" spans="1:10">
      <c r="A720" t="s">
        <v>1412</v>
      </c>
      <c r="B720" t="s">
        <v>1413</v>
      </c>
      <c r="C720" t="s">
        <v>289</v>
      </c>
      <c r="D720" t="str">
        <f t="shared" si="49"/>
        <v>Domaine De La Choupette Santenay Vieilles Vignes Rouge2023</v>
      </c>
      <c r="E720">
        <f t="shared" si="47"/>
        <v>1</v>
      </c>
      <c r="F720" t="s">
        <v>1412</v>
      </c>
      <c r="G720" t="s">
        <v>1413</v>
      </c>
      <c r="H720">
        <v>2023</v>
      </c>
      <c r="I720" t="str">
        <f t="shared" si="50"/>
        <v>Domaine De La Choupette Santenay Vieilles Vignes Rouge2023</v>
      </c>
      <c r="J720">
        <f t="shared" si="48"/>
        <v>1</v>
      </c>
    </row>
    <row r="721" spans="1:10">
      <c r="A721" t="s">
        <v>1414</v>
      </c>
      <c r="B721" t="s">
        <v>1415</v>
      </c>
      <c r="C721" t="s">
        <v>30</v>
      </c>
      <c r="D721" t="str">
        <f t="shared" si="49"/>
        <v>Domaine De La Choupette Santenay 'La Comme' Premier Cru2022</v>
      </c>
      <c r="E721">
        <f t="shared" si="47"/>
        <v>1</v>
      </c>
      <c r="F721" t="s">
        <v>1414</v>
      </c>
      <c r="G721" t="s">
        <v>1415</v>
      </c>
      <c r="H721">
        <v>2022</v>
      </c>
      <c r="I721" t="str">
        <f t="shared" si="50"/>
        <v>Domaine De La Choupette Santenay 'La Comme' Premier Cru2022</v>
      </c>
      <c r="J721">
        <f t="shared" si="48"/>
        <v>1</v>
      </c>
    </row>
    <row r="722" spans="1:10">
      <c r="A722" t="s">
        <v>1416</v>
      </c>
      <c r="B722" t="s">
        <v>1415</v>
      </c>
      <c r="C722" t="s">
        <v>289</v>
      </c>
      <c r="D722" t="str">
        <f t="shared" si="49"/>
        <v>Domaine De La Choupette Santenay 'La Comme' Premier Cru2023</v>
      </c>
      <c r="E722">
        <f t="shared" si="47"/>
        <v>1</v>
      </c>
      <c r="F722" t="s">
        <v>1416</v>
      </c>
      <c r="G722" t="s">
        <v>1415</v>
      </c>
      <c r="H722">
        <v>2023</v>
      </c>
      <c r="I722" t="str">
        <f t="shared" si="50"/>
        <v>Domaine De La Choupette Santenay 'La Comme' Premier Cru2023</v>
      </c>
      <c r="J722">
        <f t="shared" si="48"/>
        <v>1</v>
      </c>
    </row>
    <row r="723" spans="1:10">
      <c r="A723" t="s">
        <v>1417</v>
      </c>
      <c r="B723" t="s">
        <v>1418</v>
      </c>
      <c r="C723" t="s">
        <v>30</v>
      </c>
      <c r="D723" t="str">
        <f t="shared" si="49"/>
        <v>Domaine De La Choupette Santenay 'Clos Rousseau' Premier Cru2022</v>
      </c>
      <c r="E723">
        <f t="shared" si="47"/>
        <v>1</v>
      </c>
      <c r="F723" t="s">
        <v>1417</v>
      </c>
      <c r="G723" t="s">
        <v>1418</v>
      </c>
      <c r="H723">
        <v>2022</v>
      </c>
      <c r="I723" t="str">
        <f t="shared" si="50"/>
        <v>Domaine De La Choupette Santenay 'Clos Rousseau' Premier Cru2022</v>
      </c>
      <c r="J723">
        <f t="shared" si="48"/>
        <v>1</v>
      </c>
    </row>
    <row r="724" spans="1:10">
      <c r="A724" t="s">
        <v>1419</v>
      </c>
      <c r="B724" t="s">
        <v>1418</v>
      </c>
      <c r="C724" t="s">
        <v>289</v>
      </c>
      <c r="D724" t="str">
        <f t="shared" si="49"/>
        <v>Domaine De La Choupette Santenay 'Clos Rousseau' Premier Cru2023</v>
      </c>
      <c r="E724">
        <f t="shared" si="47"/>
        <v>1</v>
      </c>
      <c r="F724" t="s">
        <v>1419</v>
      </c>
      <c r="G724" t="s">
        <v>1418</v>
      </c>
      <c r="H724">
        <v>2023</v>
      </c>
      <c r="I724" t="str">
        <f t="shared" si="50"/>
        <v>Domaine De La Choupette Santenay 'Clos Rousseau' Premier Cru2023</v>
      </c>
      <c r="J724">
        <f t="shared" si="48"/>
        <v>1</v>
      </c>
    </row>
    <row r="725" spans="1:10">
      <c r="A725" t="s">
        <v>1420</v>
      </c>
      <c r="B725" t="s">
        <v>1421</v>
      </c>
      <c r="C725" t="s">
        <v>289</v>
      </c>
      <c r="D725" t="str">
        <f t="shared" si="49"/>
        <v>Domaine De La Choupette Chassagne-Montrachet 'La Platière'2023</v>
      </c>
      <c r="E725">
        <f t="shared" si="47"/>
        <v>1</v>
      </c>
      <c r="F725" t="s">
        <v>1420</v>
      </c>
      <c r="G725" t="s">
        <v>1421</v>
      </c>
      <c r="H725">
        <v>2023</v>
      </c>
      <c r="I725" t="str">
        <f t="shared" si="50"/>
        <v>Domaine De La Choupette Chassagne-Montrachet 'La Platière'2023</v>
      </c>
      <c r="J725">
        <f t="shared" si="48"/>
        <v>1</v>
      </c>
    </row>
    <row r="726" spans="1:10">
      <c r="A726" t="s">
        <v>1422</v>
      </c>
      <c r="B726" t="s">
        <v>1423</v>
      </c>
      <c r="C726" t="s">
        <v>289</v>
      </c>
      <c r="D726" t="str">
        <f t="shared" si="49"/>
        <v>Domaine De La Choupette Chassagne-Montrachet 'Morgeot' Premier Cru2023</v>
      </c>
      <c r="E726">
        <f t="shared" si="47"/>
        <v>1</v>
      </c>
      <c r="F726" t="s">
        <v>1422</v>
      </c>
      <c r="G726" t="s">
        <v>1423</v>
      </c>
      <c r="H726">
        <v>2023</v>
      </c>
      <c r="I726" t="str">
        <f t="shared" si="50"/>
        <v>Domaine De La Choupette Chassagne-Montrachet 'Morgeot' Premier Cru2023</v>
      </c>
      <c r="J726">
        <f t="shared" si="48"/>
        <v>1</v>
      </c>
    </row>
    <row r="727" spans="1:10">
      <c r="A727" t="s">
        <v>1424</v>
      </c>
      <c r="B727" t="s">
        <v>1425</v>
      </c>
      <c r="C727" t="s">
        <v>289</v>
      </c>
      <c r="D727" t="str">
        <f t="shared" si="49"/>
        <v>Domaine De La Choupette Bourgogne Côte d'Or Blanc2023</v>
      </c>
      <c r="E727">
        <f t="shared" si="47"/>
        <v>1</v>
      </c>
      <c r="F727" t="s">
        <v>1424</v>
      </c>
      <c r="G727" t="s">
        <v>1425</v>
      </c>
      <c r="H727">
        <v>2023</v>
      </c>
      <c r="I727" t="str">
        <f t="shared" si="50"/>
        <v>Domaine De La Choupette Bourgogne Côte d'Or Blanc2023</v>
      </c>
      <c r="J727">
        <f t="shared" si="48"/>
        <v>1</v>
      </c>
    </row>
    <row r="728" spans="1:10">
      <c r="A728" t="s">
        <v>1426</v>
      </c>
      <c r="B728" t="s">
        <v>1427</v>
      </c>
      <c r="C728" t="s">
        <v>30</v>
      </c>
      <c r="D728" t="str">
        <f t="shared" si="49"/>
        <v>Domaine De La Choupette Santenay 'Saint Jean' Chardonnay2022</v>
      </c>
      <c r="E728">
        <f t="shared" si="47"/>
        <v>1</v>
      </c>
      <c r="F728" t="s">
        <v>1426</v>
      </c>
      <c r="G728" t="s">
        <v>1427</v>
      </c>
      <c r="H728">
        <v>2022</v>
      </c>
      <c r="I728" t="str">
        <f t="shared" si="50"/>
        <v>Domaine De La Choupette Santenay 'Saint Jean' Chardonnay2022</v>
      </c>
      <c r="J728">
        <f t="shared" si="48"/>
        <v>1</v>
      </c>
    </row>
    <row r="729" spans="1:10">
      <c r="A729" t="s">
        <v>1428</v>
      </c>
      <c r="B729" t="s">
        <v>1427</v>
      </c>
      <c r="C729" t="s">
        <v>289</v>
      </c>
      <c r="D729" t="str">
        <f t="shared" si="49"/>
        <v>Domaine De La Choupette Santenay 'Saint Jean' Chardonnay2023</v>
      </c>
      <c r="E729">
        <f t="shared" si="47"/>
        <v>1</v>
      </c>
      <c r="F729" t="s">
        <v>1428</v>
      </c>
      <c r="G729" t="s">
        <v>1427</v>
      </c>
      <c r="H729">
        <v>2023</v>
      </c>
      <c r="I729" t="str">
        <f t="shared" si="50"/>
        <v>Domaine De La Choupette Santenay 'Saint Jean' Chardonnay2023</v>
      </c>
      <c r="J729">
        <f t="shared" si="48"/>
        <v>1</v>
      </c>
    </row>
    <row r="730" spans="1:10">
      <c r="A730" t="s">
        <v>1429</v>
      </c>
      <c r="B730" t="s">
        <v>1430</v>
      </c>
      <c r="C730" t="s">
        <v>289</v>
      </c>
      <c r="D730" t="str">
        <f t="shared" si="49"/>
        <v>Domaine De La Choupette Puligny-Montrachet Vieilles Vignes2023</v>
      </c>
      <c r="E730">
        <f t="shared" si="47"/>
        <v>1</v>
      </c>
      <c r="F730" t="s">
        <v>1429</v>
      </c>
      <c r="G730" t="s">
        <v>1430</v>
      </c>
      <c r="H730">
        <v>2023</v>
      </c>
      <c r="I730" t="str">
        <f t="shared" si="50"/>
        <v>Domaine De La Choupette Puligny-Montrachet Vieilles Vignes2023</v>
      </c>
      <c r="J730">
        <f t="shared" si="48"/>
        <v>1</v>
      </c>
    </row>
    <row r="731" spans="1:10">
      <c r="A731" t="s">
        <v>1431</v>
      </c>
      <c r="B731" t="s">
        <v>1432</v>
      </c>
      <c r="C731" t="s">
        <v>30</v>
      </c>
      <c r="D731" t="str">
        <f t="shared" si="49"/>
        <v>Domaine De La Choupette Puligny-Montrachet 'Les Chalumaux' Premier Cru2022</v>
      </c>
      <c r="E731">
        <f t="shared" si="47"/>
        <v>1</v>
      </c>
      <c r="F731" t="s">
        <v>1431</v>
      </c>
      <c r="G731" t="s">
        <v>1432</v>
      </c>
      <c r="H731">
        <v>2022</v>
      </c>
      <c r="I731" t="str">
        <f t="shared" si="50"/>
        <v>Domaine De La Choupette Puligny-Montrachet 'Les Chalumaux' Premier Cru2022</v>
      </c>
      <c r="J731">
        <f t="shared" si="48"/>
        <v>1</v>
      </c>
    </row>
    <row r="732" spans="1:10">
      <c r="A732" t="s">
        <v>1433</v>
      </c>
      <c r="B732" t="s">
        <v>1432</v>
      </c>
      <c r="C732" t="s">
        <v>289</v>
      </c>
      <c r="D732" t="str">
        <f t="shared" si="49"/>
        <v>Domaine De La Choupette Puligny-Montrachet 'Les Chalumaux' Premier Cru2023</v>
      </c>
      <c r="E732">
        <f t="shared" si="47"/>
        <v>1</v>
      </c>
      <c r="F732" t="s">
        <v>1433</v>
      </c>
      <c r="G732" t="s">
        <v>1432</v>
      </c>
      <c r="H732">
        <v>2023</v>
      </c>
      <c r="I732" t="str">
        <f t="shared" si="50"/>
        <v>Domaine De La Choupette Puligny-Montrachet 'Les Chalumaux' Premier Cru2023</v>
      </c>
      <c r="J732">
        <f t="shared" si="48"/>
        <v>1</v>
      </c>
    </row>
    <row r="733" spans="1:10">
      <c r="A733" t="s">
        <v>1434</v>
      </c>
      <c r="B733" t="s">
        <v>1435</v>
      </c>
      <c r="C733" t="s">
        <v>30</v>
      </c>
      <c r="D733" t="str">
        <f t="shared" si="49"/>
        <v>Domaine De La Choupette Puligny-Montrachet 'Sous Le Puits' Premier Cru2022</v>
      </c>
      <c r="E733">
        <f t="shared" si="47"/>
        <v>1</v>
      </c>
      <c r="F733" t="s">
        <v>1434</v>
      </c>
      <c r="G733" t="s">
        <v>1435</v>
      </c>
      <c r="H733">
        <v>2022</v>
      </c>
      <c r="I733" t="str">
        <f t="shared" si="50"/>
        <v>Domaine De La Choupette Puligny-Montrachet 'Sous Le Puits' Premier Cru2022</v>
      </c>
      <c r="J733">
        <f t="shared" si="48"/>
        <v>1</v>
      </c>
    </row>
    <row r="734" spans="1:10">
      <c r="A734" t="s">
        <v>1436</v>
      </c>
      <c r="B734" t="s">
        <v>1435</v>
      </c>
      <c r="C734" t="s">
        <v>289</v>
      </c>
      <c r="D734" t="str">
        <f t="shared" si="49"/>
        <v>Domaine De La Choupette Puligny-Montrachet 'Sous Le Puits' Premier Cru2023</v>
      </c>
      <c r="E734">
        <f t="shared" si="47"/>
        <v>1</v>
      </c>
      <c r="F734" t="s">
        <v>1436</v>
      </c>
      <c r="G734" t="s">
        <v>1435</v>
      </c>
      <c r="H734">
        <v>2023</v>
      </c>
      <c r="I734" t="str">
        <f t="shared" si="50"/>
        <v>Domaine De La Choupette Puligny-Montrachet 'Sous Le Puits' Premier Cru2023</v>
      </c>
      <c r="J734">
        <f t="shared" si="48"/>
        <v>1</v>
      </c>
    </row>
    <row r="735" spans="1:10">
      <c r="A735" t="s">
        <v>1437</v>
      </c>
      <c r="B735" t="s">
        <v>1438</v>
      </c>
      <c r="C735" t="s">
        <v>30</v>
      </c>
      <c r="D735" t="str">
        <f t="shared" si="49"/>
        <v>Domaine De La Choupette Puligny-Montrachet 'La Garenne' Premier Cru2022</v>
      </c>
      <c r="E735">
        <f t="shared" si="47"/>
        <v>1</v>
      </c>
      <c r="F735" t="s">
        <v>1437</v>
      </c>
      <c r="G735" t="s">
        <v>1438</v>
      </c>
      <c r="H735">
        <v>2022</v>
      </c>
      <c r="I735" t="str">
        <f t="shared" si="50"/>
        <v>Domaine De La Choupette Puligny-Montrachet 'La Garenne' Premier Cru2022</v>
      </c>
      <c r="J735">
        <f t="shared" si="48"/>
        <v>1</v>
      </c>
    </row>
    <row r="736" spans="1:10">
      <c r="A736" t="s">
        <v>1439</v>
      </c>
      <c r="B736" t="s">
        <v>1423</v>
      </c>
      <c r="C736" t="s">
        <v>30</v>
      </c>
      <c r="D736" t="str">
        <f t="shared" si="49"/>
        <v>Domaine De La Choupette Chassagne-Montrachet 'Morgeot' Premier Cru2022</v>
      </c>
      <c r="E736">
        <f t="shared" si="47"/>
        <v>1</v>
      </c>
      <c r="F736" t="s">
        <v>1439</v>
      </c>
      <c r="G736" t="s">
        <v>1423</v>
      </c>
      <c r="H736">
        <v>2022</v>
      </c>
      <c r="I736" t="str">
        <f t="shared" si="50"/>
        <v>Domaine De La Choupette Chassagne-Montrachet 'Morgeot' Premier Cru2022</v>
      </c>
      <c r="J736">
        <f t="shared" si="48"/>
        <v>1</v>
      </c>
    </row>
    <row r="737" spans="1:10">
      <c r="A737" t="s">
        <v>1440</v>
      </c>
      <c r="B737" t="s">
        <v>1423</v>
      </c>
      <c r="C737" t="s">
        <v>289</v>
      </c>
      <c r="D737" t="str">
        <f t="shared" si="49"/>
        <v>Domaine De La Choupette Chassagne-Montrachet 'Morgeot' Premier Cru2023</v>
      </c>
      <c r="E737">
        <f t="shared" si="47"/>
        <v>1</v>
      </c>
      <c r="F737" t="s">
        <v>1440</v>
      </c>
      <c r="G737" t="s">
        <v>1423</v>
      </c>
      <c r="H737">
        <v>2023</v>
      </c>
      <c r="I737" t="str">
        <f t="shared" si="50"/>
        <v>Domaine De La Choupette Chassagne-Montrachet 'Morgeot' Premier Cru2023</v>
      </c>
      <c r="J737">
        <f t="shared" si="48"/>
        <v>1</v>
      </c>
    </row>
    <row r="738" spans="1:10">
      <c r="A738" t="s">
        <v>1441</v>
      </c>
      <c r="B738" t="s">
        <v>1442</v>
      </c>
      <c r="C738" t="s">
        <v>56</v>
      </c>
      <c r="D738" t="str">
        <f t="shared" si="49"/>
        <v>Domaine Laboureau Bourgogne2021</v>
      </c>
      <c r="E738">
        <f t="shared" si="47"/>
        <v>1</v>
      </c>
      <c r="F738" t="s">
        <v>1441</v>
      </c>
      <c r="G738" t="s">
        <v>1442</v>
      </c>
      <c r="H738">
        <v>2021</v>
      </c>
      <c r="I738" t="str">
        <f t="shared" si="50"/>
        <v>Domaine Laboureau Bourgogne2021</v>
      </c>
      <c r="J738">
        <f t="shared" si="48"/>
        <v>1</v>
      </c>
    </row>
    <row r="739" spans="1:10">
      <c r="A739" t="s">
        <v>1443</v>
      </c>
      <c r="B739" t="s">
        <v>1442</v>
      </c>
      <c r="C739" t="s">
        <v>30</v>
      </c>
      <c r="D739" t="str">
        <f t="shared" si="49"/>
        <v>Domaine Laboureau Bourgogne2022</v>
      </c>
      <c r="E739">
        <f t="shared" si="47"/>
        <v>1</v>
      </c>
      <c r="F739" t="s">
        <v>1443</v>
      </c>
      <c r="G739" t="s">
        <v>1442</v>
      </c>
      <c r="H739">
        <v>2022</v>
      </c>
      <c r="I739" t="str">
        <f t="shared" si="50"/>
        <v>Domaine Laboureau Bourgogne2022</v>
      </c>
      <c r="J739">
        <f t="shared" si="48"/>
        <v>1</v>
      </c>
    </row>
    <row r="740" spans="1:10">
      <c r="A740" t="s">
        <v>1444</v>
      </c>
      <c r="B740" t="s">
        <v>1445</v>
      </c>
      <c r="C740" t="s">
        <v>92</v>
      </c>
      <c r="D740" t="str">
        <f t="shared" si="49"/>
        <v>Domaine Laboureau Chorey-lès-Beaune2020</v>
      </c>
      <c r="E740">
        <f t="shared" si="47"/>
        <v>1</v>
      </c>
      <c r="F740" t="s">
        <v>1444</v>
      </c>
      <c r="G740" t="s">
        <v>1445</v>
      </c>
      <c r="H740">
        <v>2020</v>
      </c>
      <c r="I740" t="str">
        <f t="shared" si="50"/>
        <v>Domaine Laboureau Chorey-lès-Beaune2020</v>
      </c>
      <c r="J740">
        <f t="shared" si="48"/>
        <v>1</v>
      </c>
    </row>
    <row r="741" spans="1:10">
      <c r="A741" t="s">
        <v>1446</v>
      </c>
      <c r="B741" t="s">
        <v>1445</v>
      </c>
      <c r="C741" t="s">
        <v>56</v>
      </c>
      <c r="D741" t="str">
        <f t="shared" si="49"/>
        <v>Domaine Laboureau Chorey-lès-Beaune2021</v>
      </c>
      <c r="E741">
        <f t="shared" si="47"/>
        <v>1</v>
      </c>
      <c r="F741" t="s">
        <v>1446</v>
      </c>
      <c r="G741" t="s">
        <v>1445</v>
      </c>
      <c r="H741">
        <v>2021</v>
      </c>
      <c r="I741" t="str">
        <f t="shared" si="50"/>
        <v>Domaine Laboureau Chorey-lès-Beaune2021</v>
      </c>
      <c r="J741">
        <f t="shared" si="48"/>
        <v>1</v>
      </c>
    </row>
    <row r="742" spans="1:10">
      <c r="A742" t="s">
        <v>1447</v>
      </c>
      <c r="B742" t="s">
        <v>1448</v>
      </c>
      <c r="C742" t="s">
        <v>92</v>
      </c>
      <c r="D742" t="str">
        <f t="shared" si="49"/>
        <v>Domaine Laboureau Pernand-Vergelesses2020</v>
      </c>
      <c r="E742">
        <f t="shared" si="47"/>
        <v>1</v>
      </c>
      <c r="F742" t="s">
        <v>1447</v>
      </c>
      <c r="G742" t="s">
        <v>1448</v>
      </c>
      <c r="H742">
        <v>2020</v>
      </c>
      <c r="I742" t="str">
        <f t="shared" si="50"/>
        <v>Domaine Laboureau Pernand-Vergelesses2020</v>
      </c>
      <c r="J742">
        <f t="shared" si="48"/>
        <v>1</v>
      </c>
    </row>
    <row r="743" spans="1:10">
      <c r="A743" t="s">
        <v>1449</v>
      </c>
      <c r="B743" t="s">
        <v>1448</v>
      </c>
      <c r="C743" t="s">
        <v>56</v>
      </c>
      <c r="D743" t="str">
        <f t="shared" si="49"/>
        <v>Domaine Laboureau Pernand-Vergelesses2021</v>
      </c>
      <c r="E743">
        <f t="shared" si="47"/>
        <v>1</v>
      </c>
      <c r="F743" t="s">
        <v>1449</v>
      </c>
      <c r="G743" t="s">
        <v>1448</v>
      </c>
      <c r="H743">
        <v>2021</v>
      </c>
      <c r="I743" t="str">
        <f t="shared" si="50"/>
        <v>Domaine Laboureau Pernand-Vergelesses2021</v>
      </c>
      <c r="J743">
        <f t="shared" si="48"/>
        <v>1</v>
      </c>
    </row>
    <row r="744" spans="1:10">
      <c r="A744" t="s">
        <v>1450</v>
      </c>
      <c r="B744" t="s">
        <v>1451</v>
      </c>
      <c r="C744" t="s">
        <v>118</v>
      </c>
      <c r="D744" t="str">
        <f t="shared" si="49"/>
        <v>Domaine Laboureau Volnay2018</v>
      </c>
      <c r="E744">
        <f t="shared" si="47"/>
        <v>1</v>
      </c>
      <c r="F744" t="s">
        <v>1450</v>
      </c>
      <c r="G744" t="s">
        <v>1451</v>
      </c>
      <c r="H744">
        <v>2018</v>
      </c>
      <c r="I744" t="str">
        <f t="shared" si="50"/>
        <v>Domaine Laboureau Volnay2018</v>
      </c>
      <c r="J744">
        <f t="shared" si="48"/>
        <v>1</v>
      </c>
    </row>
    <row r="745" spans="1:10">
      <c r="A745" t="s">
        <v>1452</v>
      </c>
      <c r="B745" t="s">
        <v>1453</v>
      </c>
      <c r="C745" t="s">
        <v>118</v>
      </c>
      <c r="D745" t="str">
        <f t="shared" si="49"/>
        <v>Domaine Laboureau Monthelie Premier Cru2018</v>
      </c>
      <c r="E745">
        <f t="shared" si="47"/>
        <v>1</v>
      </c>
      <c r="F745" t="s">
        <v>1452</v>
      </c>
      <c r="G745" t="s">
        <v>1453</v>
      </c>
      <c r="H745">
        <v>2018</v>
      </c>
      <c r="I745" t="str">
        <f t="shared" si="50"/>
        <v>Domaine Laboureau Monthelie Premier Cru2018</v>
      </c>
      <c r="J745">
        <f t="shared" si="48"/>
        <v>1</v>
      </c>
    </row>
    <row r="746" spans="1:10">
      <c r="A746" t="s">
        <v>1454</v>
      </c>
      <c r="B746" t="s">
        <v>1451</v>
      </c>
      <c r="C746" t="s">
        <v>56</v>
      </c>
      <c r="D746" t="str">
        <f t="shared" si="49"/>
        <v>Domaine Laboureau Volnay2021</v>
      </c>
      <c r="E746">
        <f t="shared" si="47"/>
        <v>1</v>
      </c>
      <c r="F746" t="s">
        <v>1454</v>
      </c>
      <c r="G746" t="s">
        <v>1451</v>
      </c>
      <c r="H746">
        <v>2021</v>
      </c>
      <c r="I746" t="str">
        <f t="shared" si="50"/>
        <v>Domaine Laboureau Volnay2021</v>
      </c>
      <c r="J746">
        <f t="shared" si="48"/>
        <v>1</v>
      </c>
    </row>
    <row r="747" spans="1:10">
      <c r="A747" t="s">
        <v>1455</v>
      </c>
      <c r="B747" t="s">
        <v>1456</v>
      </c>
      <c r="C747" t="s">
        <v>92</v>
      </c>
      <c r="D747" t="str">
        <f t="shared" si="49"/>
        <v>Domaine Laboureau Monthelie2020</v>
      </c>
      <c r="E747">
        <f t="shared" si="47"/>
        <v>1</v>
      </c>
      <c r="F747" t="s">
        <v>1455</v>
      </c>
      <c r="G747" t="s">
        <v>1456</v>
      </c>
      <c r="H747">
        <v>2020</v>
      </c>
      <c r="I747" t="str">
        <f t="shared" si="50"/>
        <v>Domaine Laboureau Monthelie2020</v>
      </c>
      <c r="J747">
        <f t="shared" si="48"/>
        <v>1</v>
      </c>
    </row>
    <row r="748" spans="1:10">
      <c r="A748" t="s">
        <v>1457</v>
      </c>
      <c r="B748" t="s">
        <v>1458</v>
      </c>
      <c r="C748" t="s">
        <v>56</v>
      </c>
      <c r="D748" t="str">
        <f t="shared" si="49"/>
        <v>Domaine Laboureau Pernand-Vergelesses Premier Cru2021</v>
      </c>
      <c r="E748">
        <f t="shared" si="47"/>
        <v>1</v>
      </c>
      <c r="F748" t="s">
        <v>1457</v>
      </c>
      <c r="G748" t="s">
        <v>1458</v>
      </c>
      <c r="H748">
        <v>2021</v>
      </c>
      <c r="I748" t="str">
        <f t="shared" si="50"/>
        <v>Domaine Laboureau Pernand-Vergelesses Premier Cru2021</v>
      </c>
      <c r="J748">
        <f t="shared" si="48"/>
        <v>1</v>
      </c>
    </row>
    <row r="749" spans="1:10">
      <c r="A749" t="s">
        <v>1459</v>
      </c>
      <c r="B749" t="s">
        <v>1460</v>
      </c>
      <c r="C749" t="s">
        <v>56</v>
      </c>
      <c r="D749" t="str">
        <f t="shared" si="49"/>
        <v>Domaine Laboureau Pommard2021</v>
      </c>
      <c r="E749">
        <f t="shared" si="47"/>
        <v>1</v>
      </c>
      <c r="F749" t="s">
        <v>1459</v>
      </c>
      <c r="G749" t="s">
        <v>1460</v>
      </c>
      <c r="H749">
        <v>2021</v>
      </c>
      <c r="I749" t="str">
        <f t="shared" si="50"/>
        <v>Domaine Laboureau Pommard2021</v>
      </c>
      <c r="J749">
        <f t="shared" si="48"/>
        <v>1</v>
      </c>
    </row>
    <row r="750" spans="1:10">
      <c r="A750" t="s">
        <v>1461</v>
      </c>
      <c r="B750" t="s">
        <v>1462</v>
      </c>
      <c r="C750" t="s">
        <v>81</v>
      </c>
      <c r="D750" t="str">
        <f t="shared" si="49"/>
        <v>Domaine Laboureau Volnay Premier Cru2019</v>
      </c>
      <c r="E750">
        <f t="shared" si="47"/>
        <v>1</v>
      </c>
      <c r="F750" t="s">
        <v>1461</v>
      </c>
      <c r="G750" t="s">
        <v>1462</v>
      </c>
      <c r="H750">
        <v>2019</v>
      </c>
      <c r="I750" t="str">
        <f t="shared" si="50"/>
        <v>Domaine Laboureau Volnay Premier Cru2019</v>
      </c>
      <c r="J750">
        <f t="shared" si="48"/>
        <v>1</v>
      </c>
    </row>
    <row r="751" spans="1:10">
      <c r="A751" t="s">
        <v>1463</v>
      </c>
      <c r="B751" t="s">
        <v>1464</v>
      </c>
      <c r="C751" t="s">
        <v>92</v>
      </c>
      <c r="D751" t="str">
        <f t="shared" si="49"/>
        <v>Domaine Laboureau Volnay 'Les Lurets' Premier Cru2020</v>
      </c>
      <c r="E751">
        <f t="shared" si="47"/>
        <v>1</v>
      </c>
      <c r="F751" t="s">
        <v>1463</v>
      </c>
      <c r="G751" t="s">
        <v>1464</v>
      </c>
      <c r="H751">
        <v>2020</v>
      </c>
      <c r="I751" t="str">
        <f t="shared" si="50"/>
        <v>Domaine Laboureau Volnay 'Les Lurets' Premier Cru2020</v>
      </c>
      <c r="J751">
        <f t="shared" si="48"/>
        <v>1</v>
      </c>
    </row>
    <row r="752" spans="1:10">
      <c r="A752" t="s">
        <v>1465</v>
      </c>
      <c r="B752" t="s">
        <v>1466</v>
      </c>
      <c r="C752" t="s">
        <v>56</v>
      </c>
      <c r="D752" t="str">
        <f t="shared" si="49"/>
        <v>Domaine Laboureau Aligoté2021</v>
      </c>
      <c r="E752">
        <f t="shared" si="47"/>
        <v>1</v>
      </c>
      <c r="F752" t="s">
        <v>1465</v>
      </c>
      <c r="G752" t="s">
        <v>1466</v>
      </c>
      <c r="H752">
        <v>2021</v>
      </c>
      <c r="I752" t="str">
        <f t="shared" si="50"/>
        <v>Domaine Laboureau Aligoté2021</v>
      </c>
      <c r="J752">
        <f t="shared" si="48"/>
        <v>1</v>
      </c>
    </row>
    <row r="753" spans="1:10">
      <c r="A753" t="s">
        <v>1467</v>
      </c>
      <c r="B753" t="s">
        <v>1468</v>
      </c>
      <c r="C753" t="s">
        <v>30</v>
      </c>
      <c r="D753" t="str">
        <f t="shared" si="49"/>
        <v>Domaine Laboureau Bourgogne Blanc2022</v>
      </c>
      <c r="E753">
        <f t="shared" si="47"/>
        <v>1</v>
      </c>
      <c r="F753" t="s">
        <v>1467</v>
      </c>
      <c r="G753" t="s">
        <v>1468</v>
      </c>
      <c r="H753">
        <v>2022</v>
      </c>
      <c r="I753" t="str">
        <f t="shared" si="50"/>
        <v>Domaine Laboureau Bourgogne Blanc2022</v>
      </c>
      <c r="J753">
        <f t="shared" si="48"/>
        <v>1</v>
      </c>
    </row>
    <row r="754" spans="1:10">
      <c r="A754" t="s">
        <v>1469</v>
      </c>
      <c r="B754" t="s">
        <v>1468</v>
      </c>
      <c r="C754" t="s">
        <v>56</v>
      </c>
      <c r="D754" t="str">
        <f t="shared" si="49"/>
        <v>Domaine Laboureau Bourgogne Blanc2021</v>
      </c>
      <c r="E754">
        <f t="shared" si="47"/>
        <v>1</v>
      </c>
      <c r="F754" t="s">
        <v>1469</v>
      </c>
      <c r="G754" t="s">
        <v>1468</v>
      </c>
      <c r="H754">
        <v>2021</v>
      </c>
      <c r="I754" t="str">
        <f t="shared" si="50"/>
        <v>Domaine Laboureau Bourgogne Blanc2021</v>
      </c>
      <c r="J754">
        <f t="shared" si="48"/>
        <v>1</v>
      </c>
    </row>
    <row r="755" spans="1:10">
      <c r="A755" t="s">
        <v>1470</v>
      </c>
      <c r="B755" t="s">
        <v>1471</v>
      </c>
      <c r="C755" t="s">
        <v>30</v>
      </c>
      <c r="D755" t="str">
        <f t="shared" si="49"/>
        <v>Domaine Laboureau Monthelie Blanc2022</v>
      </c>
      <c r="E755">
        <f t="shared" si="47"/>
        <v>1</v>
      </c>
      <c r="F755" t="s">
        <v>1470</v>
      </c>
      <c r="G755" t="s">
        <v>1471</v>
      </c>
      <c r="H755">
        <v>2022</v>
      </c>
      <c r="I755" t="str">
        <f t="shared" si="50"/>
        <v>Domaine Laboureau Monthelie Blanc2022</v>
      </c>
      <c r="J755">
        <f t="shared" si="48"/>
        <v>1</v>
      </c>
    </row>
    <row r="756" spans="1:10">
      <c r="A756" t="s">
        <v>1472</v>
      </c>
      <c r="B756" t="s">
        <v>1473</v>
      </c>
      <c r="C756" t="s">
        <v>30</v>
      </c>
      <c r="D756" t="str">
        <f t="shared" si="49"/>
        <v>Domaine Laboureau Pernand-Vergelesses Blanc2022</v>
      </c>
      <c r="E756">
        <f t="shared" si="47"/>
        <v>1</v>
      </c>
      <c r="F756" t="s">
        <v>1472</v>
      </c>
      <c r="G756" t="s">
        <v>1473</v>
      </c>
      <c r="H756">
        <v>2022</v>
      </c>
      <c r="I756" t="str">
        <f t="shared" si="50"/>
        <v>Domaine Laboureau Pernand-Vergelesses Blanc2022</v>
      </c>
      <c r="J756">
        <f t="shared" si="48"/>
        <v>1</v>
      </c>
    </row>
    <row r="757" spans="1:10">
      <c r="A757" t="s">
        <v>1474</v>
      </c>
      <c r="B757" t="s">
        <v>1475</v>
      </c>
      <c r="C757" t="s">
        <v>56</v>
      </c>
      <c r="D757" t="str">
        <f t="shared" si="49"/>
        <v>Domaine Laboureau Meursault2021</v>
      </c>
      <c r="E757">
        <f t="shared" si="47"/>
        <v>1</v>
      </c>
      <c r="F757" t="s">
        <v>1474</v>
      </c>
      <c r="G757" t="s">
        <v>1475</v>
      </c>
      <c r="H757">
        <v>2021</v>
      </c>
      <c r="I757" t="str">
        <f t="shared" si="50"/>
        <v>Domaine Laboureau Meursault2021</v>
      </c>
      <c r="J757">
        <f t="shared" si="48"/>
        <v>1</v>
      </c>
    </row>
    <row r="758" spans="1:10">
      <c r="A758" t="s">
        <v>1476</v>
      </c>
      <c r="B758" t="s">
        <v>1477</v>
      </c>
      <c r="C758" t="s">
        <v>222</v>
      </c>
      <c r="D758" t="str">
        <f t="shared" si="49"/>
        <v>Château Canon Chaigneau Lalande-de-Pomerol2015</v>
      </c>
      <c r="E758">
        <f t="shared" si="47"/>
        <v>1</v>
      </c>
      <c r="F758" t="s">
        <v>1476</v>
      </c>
      <c r="G758" t="s">
        <v>1477</v>
      </c>
      <c r="H758">
        <v>2015</v>
      </c>
      <c r="I758" t="str">
        <f t="shared" si="50"/>
        <v>Château Canon Chaigneau Lalande-de-Pomerol2015</v>
      </c>
      <c r="J758">
        <f t="shared" si="48"/>
        <v>1</v>
      </c>
    </row>
    <row r="759" spans="1:10">
      <c r="A759" t="s">
        <v>1478</v>
      </c>
      <c r="B759" t="s">
        <v>1479</v>
      </c>
      <c r="C759" t="s">
        <v>81</v>
      </c>
      <c r="D759" t="str">
        <f t="shared" si="49"/>
        <v>Château Puybarbe Gaia de Château Puybarbe2019</v>
      </c>
      <c r="E759">
        <f t="shared" si="47"/>
        <v>1</v>
      </c>
      <c r="F759" t="s">
        <v>1478</v>
      </c>
      <c r="G759" t="s">
        <v>1479</v>
      </c>
      <c r="H759">
        <v>2019</v>
      </c>
      <c r="I759" t="str">
        <f t="shared" si="50"/>
        <v>Château Puybarbe Gaia de Château Puybarbe2019</v>
      </c>
      <c r="J759">
        <f t="shared" si="48"/>
        <v>1</v>
      </c>
    </row>
    <row r="760" spans="1:10">
      <c r="A760" t="s">
        <v>1480</v>
      </c>
      <c r="B760" t="s">
        <v>1481</v>
      </c>
      <c r="C760" t="s">
        <v>30</v>
      </c>
      <c r="D760" t="str">
        <f t="shared" si="49"/>
        <v>Loudenne 'Les Jardins' Rouge2022</v>
      </c>
      <c r="E760">
        <f t="shared" si="47"/>
        <v>1</v>
      </c>
      <c r="F760" t="s">
        <v>1480</v>
      </c>
      <c r="G760" t="s">
        <v>1481</v>
      </c>
      <c r="H760">
        <v>2022</v>
      </c>
      <c r="I760" t="str">
        <f t="shared" si="50"/>
        <v>Loudenne 'Les Jardins' Rouge2022</v>
      </c>
      <c r="J760">
        <f t="shared" si="48"/>
        <v>1</v>
      </c>
    </row>
    <row r="761" spans="1:10">
      <c r="A761" t="s">
        <v>1482</v>
      </c>
      <c r="B761" t="s">
        <v>1483</v>
      </c>
      <c r="C761" t="s">
        <v>137</v>
      </c>
      <c r="D761" t="str">
        <f t="shared" si="49"/>
        <v>Loudenne 'Le Château' Médoc Rouge2017</v>
      </c>
      <c r="E761">
        <f t="shared" si="47"/>
        <v>1</v>
      </c>
      <c r="F761" t="s">
        <v>1482</v>
      </c>
      <c r="G761" t="s">
        <v>1483</v>
      </c>
      <c r="H761">
        <v>2017</v>
      </c>
      <c r="I761" t="str">
        <f t="shared" si="50"/>
        <v>Loudenne 'Le Château' Médoc Rouge2017</v>
      </c>
      <c r="J761">
        <f t="shared" si="48"/>
        <v>1</v>
      </c>
    </row>
    <row r="762" spans="1:10">
      <c r="A762" t="s">
        <v>1484</v>
      </c>
      <c r="B762" t="s">
        <v>1483</v>
      </c>
      <c r="C762" t="s">
        <v>118</v>
      </c>
      <c r="D762" t="str">
        <f t="shared" si="49"/>
        <v>Loudenne 'Le Château' Médoc Rouge2018</v>
      </c>
      <c r="E762">
        <f t="shared" si="47"/>
        <v>1</v>
      </c>
      <c r="F762" t="s">
        <v>1484</v>
      </c>
      <c r="G762" t="s">
        <v>1483</v>
      </c>
      <c r="H762">
        <v>2018</v>
      </c>
      <c r="I762" t="str">
        <f t="shared" si="50"/>
        <v>Loudenne 'Le Château' Médoc Rouge2018</v>
      </c>
      <c r="J762">
        <f t="shared" si="48"/>
        <v>1</v>
      </c>
    </row>
    <row r="763" spans="1:10">
      <c r="A763" t="s">
        <v>1485</v>
      </c>
      <c r="B763" t="s">
        <v>1483</v>
      </c>
      <c r="C763" t="s">
        <v>118</v>
      </c>
      <c r="D763" t="str">
        <f t="shared" si="49"/>
        <v>Loudenne 'Le Château' Médoc Rouge2018</v>
      </c>
      <c r="E763">
        <f t="shared" si="47"/>
        <v>1</v>
      </c>
      <c r="F763" t="s">
        <v>1485</v>
      </c>
      <c r="G763" t="s">
        <v>1483</v>
      </c>
      <c r="H763">
        <v>2018</v>
      </c>
      <c r="I763" t="str">
        <f t="shared" si="50"/>
        <v>Loudenne 'Le Château' Médoc Rouge2018</v>
      </c>
      <c r="J763">
        <f t="shared" si="48"/>
        <v>1</v>
      </c>
    </row>
    <row r="764" spans="1:10">
      <c r="A764" t="s">
        <v>1486</v>
      </c>
      <c r="B764" t="s">
        <v>1483</v>
      </c>
      <c r="C764" t="s">
        <v>129</v>
      </c>
      <c r="D764" t="str">
        <f t="shared" si="49"/>
        <v>Loudenne 'Le Château' Médoc Rouge2016</v>
      </c>
      <c r="E764">
        <f t="shared" si="47"/>
        <v>1</v>
      </c>
      <c r="F764" t="s">
        <v>1486</v>
      </c>
      <c r="G764" t="s">
        <v>1483</v>
      </c>
      <c r="H764">
        <v>2016</v>
      </c>
      <c r="I764" t="str">
        <f t="shared" si="50"/>
        <v>Loudenne 'Le Château' Médoc Rouge2016</v>
      </c>
      <c r="J764">
        <f t="shared" si="48"/>
        <v>1</v>
      </c>
    </row>
    <row r="765" spans="1:10">
      <c r="A765" t="s">
        <v>1487</v>
      </c>
      <c r="B765" t="s">
        <v>1483</v>
      </c>
      <c r="C765" t="s">
        <v>118</v>
      </c>
      <c r="D765" t="str">
        <f t="shared" si="49"/>
        <v>Loudenne 'Le Château' Médoc Rouge2018</v>
      </c>
      <c r="E765">
        <f t="shared" si="47"/>
        <v>1</v>
      </c>
      <c r="F765" t="s">
        <v>1487</v>
      </c>
      <c r="G765" t="s">
        <v>1483</v>
      </c>
      <c r="H765">
        <v>2018</v>
      </c>
      <c r="I765" t="str">
        <f t="shared" si="50"/>
        <v>Loudenne 'Le Château' Médoc Rouge2018</v>
      </c>
      <c r="J765">
        <f t="shared" si="48"/>
        <v>1</v>
      </c>
    </row>
    <row r="766" spans="1:10">
      <c r="A766" t="s">
        <v>1488</v>
      </c>
      <c r="B766" t="s">
        <v>1483</v>
      </c>
      <c r="C766" t="s">
        <v>118</v>
      </c>
      <c r="D766" t="str">
        <f t="shared" si="49"/>
        <v>Loudenne 'Le Château' Médoc Rouge2018</v>
      </c>
      <c r="E766">
        <f t="shared" si="47"/>
        <v>1</v>
      </c>
      <c r="F766" t="s">
        <v>1488</v>
      </c>
      <c r="G766" t="s">
        <v>1483</v>
      </c>
      <c r="H766">
        <v>2018</v>
      </c>
      <c r="I766" t="str">
        <f t="shared" si="50"/>
        <v>Loudenne 'Le Château' Médoc Rouge2018</v>
      </c>
      <c r="J766">
        <f t="shared" si="48"/>
        <v>1</v>
      </c>
    </row>
    <row r="767" spans="1:10">
      <c r="A767" t="s">
        <v>1489</v>
      </c>
      <c r="B767" t="s">
        <v>1490</v>
      </c>
      <c r="C767" t="s">
        <v>30</v>
      </c>
      <c r="D767" t="str">
        <f t="shared" si="49"/>
        <v>Loudenne 'Les Jardins' Blanc2022</v>
      </c>
      <c r="E767">
        <f t="shared" si="47"/>
        <v>1</v>
      </c>
      <c r="F767" t="s">
        <v>1489</v>
      </c>
      <c r="G767" t="s">
        <v>1490</v>
      </c>
      <c r="H767">
        <v>2022</v>
      </c>
      <c r="I767" t="str">
        <f t="shared" si="50"/>
        <v>Loudenne 'Les Jardins' Blanc2022</v>
      </c>
      <c r="J767">
        <f t="shared" si="48"/>
        <v>1</v>
      </c>
    </row>
    <row r="768" spans="1:10">
      <c r="A768" t="s">
        <v>1491</v>
      </c>
      <c r="B768" t="s">
        <v>1490</v>
      </c>
      <c r="C768" t="s">
        <v>81</v>
      </c>
      <c r="D768" t="str">
        <f t="shared" si="49"/>
        <v>Loudenne 'Les Jardins' Blanc2019</v>
      </c>
      <c r="E768">
        <f t="shared" si="47"/>
        <v>1</v>
      </c>
      <c r="F768" t="s">
        <v>1491</v>
      </c>
      <c r="G768" t="s">
        <v>1490</v>
      </c>
      <c r="H768">
        <v>2019</v>
      </c>
      <c r="I768" t="str">
        <f t="shared" si="50"/>
        <v>Loudenne 'Les Jardins' Blanc2019</v>
      </c>
      <c r="J768">
        <f t="shared" si="48"/>
        <v>1</v>
      </c>
    </row>
    <row r="769" spans="1:10">
      <c r="A769" t="s">
        <v>1492</v>
      </c>
      <c r="B769" t="s">
        <v>1493</v>
      </c>
      <c r="C769" t="s">
        <v>81</v>
      </c>
      <c r="D769" t="str">
        <f t="shared" si="49"/>
        <v>Loudenne 'Le Château' Bordeaux Blanc2019</v>
      </c>
      <c r="E769">
        <f t="shared" si="47"/>
        <v>1</v>
      </c>
      <c r="F769" t="s">
        <v>1492</v>
      </c>
      <c r="G769" t="s">
        <v>1493</v>
      </c>
      <c r="H769">
        <v>2019</v>
      </c>
      <c r="I769" t="str">
        <f t="shared" si="50"/>
        <v>Loudenne 'Le Château' Bordeaux Blanc2019</v>
      </c>
      <c r="J769">
        <f t="shared" si="48"/>
        <v>1</v>
      </c>
    </row>
    <row r="770" spans="1:10">
      <c r="A770" t="s">
        <v>1494</v>
      </c>
      <c r="B770" t="s">
        <v>1495</v>
      </c>
      <c r="C770" t="s">
        <v>144</v>
      </c>
      <c r="D770" t="str">
        <f t="shared" si="49"/>
        <v>Ania Asti Spumante DOCGNV</v>
      </c>
      <c r="E770">
        <f t="shared" si="47"/>
        <v>1</v>
      </c>
      <c r="F770" t="s">
        <v>1494</v>
      </c>
      <c r="G770" t="s">
        <v>1495</v>
      </c>
      <c r="H770" t="s">
        <v>144</v>
      </c>
      <c r="I770" t="str">
        <f t="shared" si="50"/>
        <v>Ania Asti Spumante DOCGNV</v>
      </c>
      <c r="J770">
        <f t="shared" si="48"/>
        <v>1</v>
      </c>
    </row>
    <row r="771" spans="1:10">
      <c r="A771" t="s">
        <v>1496</v>
      </c>
      <c r="B771" t="s">
        <v>1497</v>
      </c>
      <c r="C771" t="s">
        <v>56</v>
      </c>
      <c r="D771" t="str">
        <f t="shared" si="49"/>
        <v>Corte Moschina Valpolicella DOC2021</v>
      </c>
      <c r="E771">
        <f t="shared" ref="E771:E834" si="51">IF(A771=F771,1,0)</f>
        <v>1</v>
      </c>
      <c r="F771" t="s">
        <v>1496</v>
      </c>
      <c r="G771" t="s">
        <v>1497</v>
      </c>
      <c r="H771">
        <v>2021</v>
      </c>
      <c r="I771" t="str">
        <f t="shared" si="50"/>
        <v>Corte Moschina Valpolicella DOC2021</v>
      </c>
      <c r="J771">
        <f t="shared" ref="J771:J834" si="52">IF(D771=I771,1,0)</f>
        <v>1</v>
      </c>
    </row>
    <row r="772" spans="1:10">
      <c r="A772" t="s">
        <v>1498</v>
      </c>
      <c r="B772" t="s">
        <v>1499</v>
      </c>
      <c r="C772" t="s">
        <v>81</v>
      </c>
      <c r="D772" t="str">
        <f t="shared" si="49"/>
        <v>Corte Moschina Colle Alto Cabernet IGT Veneto2019</v>
      </c>
      <c r="E772">
        <f t="shared" si="51"/>
        <v>1</v>
      </c>
      <c r="F772" t="s">
        <v>1498</v>
      </c>
      <c r="G772" t="s">
        <v>1499</v>
      </c>
      <c r="H772">
        <v>2019</v>
      </c>
      <c r="I772" t="str">
        <f t="shared" si="50"/>
        <v>Corte Moschina Colle Alto Cabernet IGT Veneto2019</v>
      </c>
      <c r="J772">
        <f t="shared" si="52"/>
        <v>1</v>
      </c>
    </row>
    <row r="773" spans="1:10">
      <c r="A773" t="s">
        <v>1500</v>
      </c>
      <c r="B773" t="s">
        <v>1501</v>
      </c>
      <c r="C773" t="s">
        <v>56</v>
      </c>
      <c r="D773" t="str">
        <f t="shared" si="49"/>
        <v>Corte Moschina Valpolicella Ripasso DOC Superiore2021</v>
      </c>
      <c r="E773">
        <f t="shared" si="51"/>
        <v>1</v>
      </c>
      <c r="F773" t="s">
        <v>1500</v>
      </c>
      <c r="G773" t="s">
        <v>1501</v>
      </c>
      <c r="H773">
        <v>2021</v>
      </c>
      <c r="I773" t="str">
        <f t="shared" si="50"/>
        <v>Corte Moschina Valpolicella Ripasso DOC Superiore2021</v>
      </c>
      <c r="J773">
        <f t="shared" si="52"/>
        <v>1</v>
      </c>
    </row>
    <row r="774" spans="1:10">
      <c r="A774" t="s">
        <v>1502</v>
      </c>
      <c r="B774" t="s">
        <v>1503</v>
      </c>
      <c r="C774" t="s">
        <v>81</v>
      </c>
      <c r="D774" t="str">
        <f t="shared" si="49"/>
        <v>Corte Moschina Amarone della Valpolicella DOCG2019</v>
      </c>
      <c r="E774">
        <f t="shared" si="51"/>
        <v>1</v>
      </c>
      <c r="F774" t="s">
        <v>1502</v>
      </c>
      <c r="G774" t="s">
        <v>1503</v>
      </c>
      <c r="H774">
        <v>2019</v>
      </c>
      <c r="I774" t="str">
        <f t="shared" si="50"/>
        <v>Corte Moschina Amarone della Valpolicella DOCG2019</v>
      </c>
      <c r="J774">
        <f t="shared" si="52"/>
        <v>1</v>
      </c>
    </row>
    <row r="775" spans="1:10">
      <c r="A775" t="s">
        <v>1504</v>
      </c>
      <c r="B775" t="s">
        <v>1505</v>
      </c>
      <c r="C775" t="s">
        <v>239</v>
      </c>
      <c r="D775" t="str">
        <f t="shared" ref="D775:D838" si="53">B775&amp;C775</f>
        <v>Corte Moschina 'Niero' Amarone della Valpolicella DOCG2011</v>
      </c>
      <c r="E775">
        <f t="shared" si="51"/>
        <v>1</v>
      </c>
      <c r="F775" t="s">
        <v>1504</v>
      </c>
      <c r="G775" t="s">
        <v>1505</v>
      </c>
      <c r="H775">
        <v>2011</v>
      </c>
      <c r="I775" t="str">
        <f t="shared" ref="I775:I838" si="54">G775&amp;H775</f>
        <v>Corte Moschina 'Niero' Amarone della Valpolicella DOCG2011</v>
      </c>
      <c r="J775">
        <f t="shared" si="52"/>
        <v>1</v>
      </c>
    </row>
    <row r="776" spans="1:10">
      <c r="A776" t="s">
        <v>1506</v>
      </c>
      <c r="B776" t="s">
        <v>1505</v>
      </c>
      <c r="C776" t="s">
        <v>172</v>
      </c>
      <c r="D776" t="str">
        <f t="shared" si="53"/>
        <v>Corte Moschina 'Niero' Amarone della Valpolicella DOCG2012</v>
      </c>
      <c r="E776">
        <f t="shared" si="51"/>
        <v>1</v>
      </c>
      <c r="F776" t="s">
        <v>1506</v>
      </c>
      <c r="G776" t="s">
        <v>1505</v>
      </c>
      <c r="H776">
        <v>2012</v>
      </c>
      <c r="I776" t="str">
        <f t="shared" si="54"/>
        <v>Corte Moschina 'Niero' Amarone della Valpolicella DOCG2012</v>
      </c>
      <c r="J776">
        <f t="shared" si="52"/>
        <v>1</v>
      </c>
    </row>
    <row r="777" spans="1:10">
      <c r="A777" t="s">
        <v>1507</v>
      </c>
      <c r="B777" t="s">
        <v>1508</v>
      </c>
      <c r="C777" t="s">
        <v>92</v>
      </c>
      <c r="D777" t="str">
        <f t="shared" si="53"/>
        <v>Corte Moschina 'Evaos' Soave DOC Ronca Monte Calvarina2020</v>
      </c>
      <c r="E777">
        <f t="shared" si="51"/>
        <v>1</v>
      </c>
      <c r="F777" t="s">
        <v>1507</v>
      </c>
      <c r="G777" t="s">
        <v>1508</v>
      </c>
      <c r="H777">
        <v>2020</v>
      </c>
      <c r="I777" t="str">
        <f t="shared" si="54"/>
        <v>Corte Moschina 'Evaos' Soave DOC Ronca Monte Calvarina2020</v>
      </c>
      <c r="J777">
        <f t="shared" si="52"/>
        <v>1</v>
      </c>
    </row>
    <row r="778" spans="1:10">
      <c r="A778" t="s">
        <v>1509</v>
      </c>
      <c r="B778" t="s">
        <v>1510</v>
      </c>
      <c r="C778" t="s">
        <v>30</v>
      </c>
      <c r="D778" t="str">
        <f t="shared" si="53"/>
        <v>Corte Moschina 'Granetto' Pinot Grigio DOC Delle Venezie2022</v>
      </c>
      <c r="E778">
        <f t="shared" si="51"/>
        <v>1</v>
      </c>
      <c r="F778" t="s">
        <v>1509</v>
      </c>
      <c r="G778" t="s">
        <v>1510</v>
      </c>
      <c r="H778">
        <v>2022</v>
      </c>
      <c r="I778" t="str">
        <f t="shared" si="54"/>
        <v>Corte Moschina 'Granetto' Pinot Grigio DOC Delle Venezie2022</v>
      </c>
      <c r="J778">
        <f t="shared" si="52"/>
        <v>1</v>
      </c>
    </row>
    <row r="779" spans="1:10">
      <c r="A779" t="s">
        <v>1511</v>
      </c>
      <c r="B779" t="s">
        <v>1512</v>
      </c>
      <c r="C779" t="s">
        <v>56</v>
      </c>
      <c r="D779" t="str">
        <f t="shared" si="53"/>
        <v>Corte Moschina 'Roncatae' Soave DOC2021</v>
      </c>
      <c r="E779">
        <f t="shared" si="51"/>
        <v>1</v>
      </c>
      <c r="F779" t="s">
        <v>1511</v>
      </c>
      <c r="G779" t="s">
        <v>1512</v>
      </c>
      <c r="H779">
        <v>2021</v>
      </c>
      <c r="I779" t="str">
        <f t="shared" si="54"/>
        <v>Corte Moschina 'Roncatae' Soave DOC2021</v>
      </c>
      <c r="J779">
        <f t="shared" si="52"/>
        <v>1</v>
      </c>
    </row>
    <row r="780" spans="1:10">
      <c r="A780" t="s">
        <v>1513</v>
      </c>
      <c r="B780" t="s">
        <v>1508</v>
      </c>
      <c r="C780" t="s">
        <v>30</v>
      </c>
      <c r="D780" t="str">
        <f t="shared" si="53"/>
        <v>Corte Moschina 'Evaos' Soave DOC Ronca Monte Calvarina2022</v>
      </c>
      <c r="E780">
        <f t="shared" si="51"/>
        <v>1</v>
      </c>
      <c r="F780" t="s">
        <v>1513</v>
      </c>
      <c r="G780" t="s">
        <v>1508</v>
      </c>
      <c r="H780">
        <v>2022</v>
      </c>
      <c r="I780" t="str">
        <f t="shared" si="54"/>
        <v>Corte Moschina 'Evaos' Soave DOC Ronca Monte Calvarina2022</v>
      </c>
      <c r="J780">
        <f t="shared" si="52"/>
        <v>1</v>
      </c>
    </row>
    <row r="781" spans="1:10">
      <c r="A781" t="s">
        <v>1514</v>
      </c>
      <c r="B781" t="s">
        <v>1515</v>
      </c>
      <c r="C781" t="s">
        <v>92</v>
      </c>
      <c r="D781" t="str">
        <f t="shared" si="53"/>
        <v>Corte Moschina 'I Tarai' Soave Superiore DOCG2020</v>
      </c>
      <c r="E781">
        <f t="shared" si="51"/>
        <v>1</v>
      </c>
      <c r="F781" t="s">
        <v>1514</v>
      </c>
      <c r="G781" t="s">
        <v>1515</v>
      </c>
      <c r="H781">
        <v>2020</v>
      </c>
      <c r="I781" t="str">
        <f t="shared" si="54"/>
        <v>Corte Moschina 'I Tarai' Soave Superiore DOCG2020</v>
      </c>
      <c r="J781">
        <f t="shared" si="52"/>
        <v>1</v>
      </c>
    </row>
    <row r="782" spans="1:10">
      <c r="A782" t="s">
        <v>1516</v>
      </c>
      <c r="B782" t="s">
        <v>1515</v>
      </c>
      <c r="C782" t="s">
        <v>56</v>
      </c>
      <c r="D782" t="str">
        <f t="shared" si="53"/>
        <v>Corte Moschina 'I Tarai' Soave Superiore DOCG2021</v>
      </c>
      <c r="E782">
        <f t="shared" si="51"/>
        <v>1</v>
      </c>
      <c r="F782" t="s">
        <v>1516</v>
      </c>
      <c r="G782" t="s">
        <v>1515</v>
      </c>
      <c r="H782">
        <v>2021</v>
      </c>
      <c r="I782" t="str">
        <f t="shared" si="54"/>
        <v>Corte Moschina 'I Tarai' Soave Superiore DOCG2021</v>
      </c>
      <c r="J782">
        <f t="shared" si="52"/>
        <v>1</v>
      </c>
    </row>
    <row r="783" spans="1:10">
      <c r="A783" t="s">
        <v>1517</v>
      </c>
      <c r="B783" t="s">
        <v>1518</v>
      </c>
      <c r="C783" t="s">
        <v>92</v>
      </c>
      <c r="D783" t="str">
        <f t="shared" si="53"/>
        <v>Corte Moschina 'Incanto' Recioto di Soave DOCG2020</v>
      </c>
      <c r="E783">
        <f t="shared" si="51"/>
        <v>1</v>
      </c>
      <c r="F783" t="s">
        <v>1517</v>
      </c>
      <c r="G783" t="s">
        <v>1518</v>
      </c>
      <c r="H783">
        <v>2020</v>
      </c>
      <c r="I783" t="str">
        <f t="shared" si="54"/>
        <v>Corte Moschina 'Incanto' Recioto di Soave DOCG2020</v>
      </c>
      <c r="J783">
        <f t="shared" si="52"/>
        <v>1</v>
      </c>
    </row>
    <row r="784" spans="1:10">
      <c r="A784" t="s">
        <v>1519</v>
      </c>
      <c r="B784" t="s">
        <v>1520</v>
      </c>
      <c r="C784" t="s">
        <v>118</v>
      </c>
      <c r="D784" t="str">
        <f t="shared" si="53"/>
        <v>Corte Volponi Amarone della Valpolicella Classico DOCG2018</v>
      </c>
      <c r="E784">
        <f t="shared" si="51"/>
        <v>1</v>
      </c>
      <c r="F784" t="s">
        <v>1519</v>
      </c>
      <c r="G784" t="s">
        <v>1520</v>
      </c>
      <c r="H784">
        <v>2018</v>
      </c>
      <c r="I784" t="str">
        <f t="shared" si="54"/>
        <v>Corte Volponi Amarone della Valpolicella Classico DOCG2018</v>
      </c>
      <c r="J784">
        <f t="shared" si="52"/>
        <v>1</v>
      </c>
    </row>
    <row r="785" spans="1:10">
      <c r="A785" t="s">
        <v>1521</v>
      </c>
      <c r="B785" t="s">
        <v>1522</v>
      </c>
      <c r="C785" t="s">
        <v>56</v>
      </c>
      <c r="D785" t="str">
        <f t="shared" si="53"/>
        <v>La Sala Chianti Classico DOCG2021</v>
      </c>
      <c r="E785">
        <f t="shared" si="51"/>
        <v>1</v>
      </c>
      <c r="F785" t="s">
        <v>1521</v>
      </c>
      <c r="G785" t="s">
        <v>1522</v>
      </c>
      <c r="H785">
        <v>2021</v>
      </c>
      <c r="I785" t="str">
        <f t="shared" si="54"/>
        <v>La Sala Chianti Classico DOCG2021</v>
      </c>
      <c r="J785">
        <f t="shared" si="52"/>
        <v>1</v>
      </c>
    </row>
    <row r="786" spans="1:10">
      <c r="A786" t="s">
        <v>1523</v>
      </c>
      <c r="B786" t="s">
        <v>1524</v>
      </c>
      <c r="C786" t="s">
        <v>81</v>
      </c>
      <c r="D786" t="str">
        <f t="shared" si="53"/>
        <v>La Sala Chianti Classico Riserva DOCG2019</v>
      </c>
      <c r="E786">
        <f t="shared" si="51"/>
        <v>1</v>
      </c>
      <c r="F786" t="s">
        <v>1523</v>
      </c>
      <c r="G786" t="s">
        <v>1524</v>
      </c>
      <c r="H786">
        <v>2019</v>
      </c>
      <c r="I786" t="str">
        <f t="shared" si="54"/>
        <v>La Sala Chianti Classico Riserva DOCG2019</v>
      </c>
      <c r="J786">
        <f t="shared" si="52"/>
        <v>1</v>
      </c>
    </row>
    <row r="787" spans="1:10">
      <c r="A787" t="s">
        <v>1525</v>
      </c>
      <c r="B787" t="s">
        <v>1526</v>
      </c>
      <c r="C787" t="s">
        <v>92</v>
      </c>
      <c r="D787" t="str">
        <f t="shared" si="53"/>
        <v>La Sala Toscana 'Campo all'albero' Super Tuscan IGT2020</v>
      </c>
      <c r="E787">
        <f t="shared" si="51"/>
        <v>1</v>
      </c>
      <c r="F787" t="s">
        <v>1525</v>
      </c>
      <c r="G787" t="s">
        <v>1526</v>
      </c>
      <c r="H787">
        <v>2020</v>
      </c>
      <c r="I787" t="str">
        <f t="shared" si="54"/>
        <v>La Sala Toscana 'Campo all'albero' Super Tuscan IGT2020</v>
      </c>
      <c r="J787">
        <f t="shared" si="52"/>
        <v>1</v>
      </c>
    </row>
    <row r="788" spans="1:10">
      <c r="A788" t="s">
        <v>1527</v>
      </c>
      <c r="B788" t="s">
        <v>1528</v>
      </c>
      <c r="C788" t="s">
        <v>118</v>
      </c>
      <c r="D788" t="str">
        <f t="shared" si="53"/>
        <v>La Sala 'Il Torriano' Chianti Classico Gran Selezione DOCG2018</v>
      </c>
      <c r="E788">
        <f t="shared" si="51"/>
        <v>1</v>
      </c>
      <c r="F788" t="s">
        <v>1527</v>
      </c>
      <c r="G788" t="s">
        <v>1528</v>
      </c>
      <c r="H788">
        <v>2018</v>
      </c>
      <c r="I788" t="str">
        <f t="shared" si="54"/>
        <v>La Sala 'Il Torriano' Chianti Classico Gran Selezione DOCG2018</v>
      </c>
      <c r="J788">
        <f t="shared" si="52"/>
        <v>1</v>
      </c>
    </row>
    <row r="789" spans="1:10">
      <c r="A789" t="s">
        <v>1529</v>
      </c>
      <c r="B789" t="s">
        <v>1528</v>
      </c>
      <c r="C789" t="s">
        <v>92</v>
      </c>
      <c r="D789" t="str">
        <f t="shared" si="53"/>
        <v>La Sala 'Il Torriano' Chianti Classico Gran Selezione DOCG2020</v>
      </c>
      <c r="E789">
        <f t="shared" si="51"/>
        <v>1</v>
      </c>
      <c r="F789" t="s">
        <v>1529</v>
      </c>
      <c r="G789" t="s">
        <v>1528</v>
      </c>
      <c r="H789">
        <v>2020</v>
      </c>
      <c r="I789" t="str">
        <f t="shared" si="54"/>
        <v>La Sala 'Il Torriano' Chianti Classico Gran Selezione DOCG2020</v>
      </c>
      <c r="J789">
        <f t="shared" si="52"/>
        <v>1</v>
      </c>
    </row>
    <row r="790" spans="1:10">
      <c r="A790" t="s">
        <v>1530</v>
      </c>
      <c r="B790" t="s">
        <v>1531</v>
      </c>
      <c r="C790" t="s">
        <v>144</v>
      </c>
      <c r="D790" t="str">
        <f t="shared" si="53"/>
        <v>Naonis Prosecco Spumante Extra DryNV</v>
      </c>
      <c r="E790">
        <f t="shared" si="51"/>
        <v>1</v>
      </c>
      <c r="F790" t="s">
        <v>1530</v>
      </c>
      <c r="G790" t="s">
        <v>1531</v>
      </c>
      <c r="H790" t="s">
        <v>144</v>
      </c>
      <c r="I790" t="str">
        <f t="shared" si="54"/>
        <v>Naonis Prosecco Spumante Extra DryNV</v>
      </c>
      <c r="J790">
        <f t="shared" si="52"/>
        <v>1</v>
      </c>
    </row>
    <row r="791" spans="1:10">
      <c r="A791" t="s">
        <v>1532</v>
      </c>
      <c r="B791" t="s">
        <v>1531</v>
      </c>
      <c r="C791" t="s">
        <v>144</v>
      </c>
      <c r="D791" t="str">
        <f t="shared" si="53"/>
        <v>Naonis Prosecco Spumante Extra DryNV</v>
      </c>
      <c r="E791">
        <f t="shared" si="51"/>
        <v>1</v>
      </c>
      <c r="F791" t="s">
        <v>1532</v>
      </c>
      <c r="G791" t="s">
        <v>1531</v>
      </c>
      <c r="H791" t="s">
        <v>144</v>
      </c>
      <c r="I791" t="str">
        <f t="shared" si="54"/>
        <v>Naonis Prosecco Spumante Extra DryNV</v>
      </c>
      <c r="J791">
        <f t="shared" si="52"/>
        <v>1</v>
      </c>
    </row>
    <row r="792" spans="1:10">
      <c r="A792" t="s">
        <v>1533</v>
      </c>
      <c r="B792" t="s">
        <v>1534</v>
      </c>
      <c r="C792" t="s">
        <v>144</v>
      </c>
      <c r="D792" t="str">
        <f t="shared" si="53"/>
        <v>Naonis Prosecco RoséNV</v>
      </c>
      <c r="E792">
        <f t="shared" si="51"/>
        <v>1</v>
      </c>
      <c r="F792" t="s">
        <v>1533</v>
      </c>
      <c r="G792" t="s">
        <v>1534</v>
      </c>
      <c r="H792" t="s">
        <v>144</v>
      </c>
      <c r="I792" t="str">
        <f t="shared" si="54"/>
        <v>Naonis Prosecco RoséNV</v>
      </c>
      <c r="J792">
        <f t="shared" si="52"/>
        <v>1</v>
      </c>
    </row>
    <row r="793" spans="1:10">
      <c r="A793" t="s">
        <v>1535</v>
      </c>
      <c r="B793" t="s">
        <v>1536</v>
      </c>
      <c r="C793" t="s">
        <v>1537</v>
      </c>
      <c r="D793" t="str">
        <f t="shared" si="53"/>
        <v>Naonis Prosecco Spumante Valdobbiadene DOCG Extra Dry2024</v>
      </c>
      <c r="E793">
        <f t="shared" si="51"/>
        <v>1</v>
      </c>
      <c r="F793" t="s">
        <v>1535</v>
      </c>
      <c r="G793" t="s">
        <v>1536</v>
      </c>
      <c r="H793">
        <v>2024</v>
      </c>
      <c r="I793" t="str">
        <f t="shared" si="54"/>
        <v>Naonis Prosecco Spumante Valdobbiadene DOCG Extra Dry2024</v>
      </c>
      <c r="J793">
        <f t="shared" si="52"/>
        <v>1</v>
      </c>
    </row>
    <row r="794" spans="1:10">
      <c r="A794" t="s">
        <v>1538</v>
      </c>
      <c r="B794" t="s">
        <v>1539</v>
      </c>
      <c r="C794" t="s">
        <v>144</v>
      </c>
      <c r="D794" t="str">
        <f t="shared" si="53"/>
        <v>Naonis Pinot GrigioNV</v>
      </c>
      <c r="E794">
        <f t="shared" si="51"/>
        <v>1</v>
      </c>
      <c r="F794" t="s">
        <v>1538</v>
      </c>
      <c r="G794" t="s">
        <v>1539</v>
      </c>
      <c r="H794" t="s">
        <v>144</v>
      </c>
      <c r="I794" t="str">
        <f t="shared" si="54"/>
        <v>Naonis Pinot GrigioNV</v>
      </c>
      <c r="J794">
        <f t="shared" si="52"/>
        <v>1</v>
      </c>
    </row>
    <row r="795" spans="1:10">
      <c r="A795" t="s">
        <v>1540</v>
      </c>
      <c r="B795" t="s">
        <v>1541</v>
      </c>
      <c r="C795" t="s">
        <v>92</v>
      </c>
      <c r="D795" t="str">
        <f t="shared" si="53"/>
        <v>Piazzo Barbera d'Alba Superiore Mugiot2020</v>
      </c>
      <c r="E795">
        <f t="shared" si="51"/>
        <v>1</v>
      </c>
      <c r="F795" t="s">
        <v>1540</v>
      </c>
      <c r="G795" t="s">
        <v>1541</v>
      </c>
      <c r="H795">
        <v>2020</v>
      </c>
      <c r="I795" t="str">
        <f t="shared" si="54"/>
        <v>Piazzo Barbera d'Alba Superiore Mugiot2020</v>
      </c>
      <c r="J795">
        <f t="shared" si="52"/>
        <v>1</v>
      </c>
    </row>
    <row r="796" spans="1:10">
      <c r="A796" t="s">
        <v>1542</v>
      </c>
      <c r="B796" t="s">
        <v>1543</v>
      </c>
      <c r="C796" t="s">
        <v>81</v>
      </c>
      <c r="D796" t="str">
        <f t="shared" si="53"/>
        <v>Piazzo Barbaresco2019</v>
      </c>
      <c r="E796">
        <f t="shared" si="51"/>
        <v>1</v>
      </c>
      <c r="F796" t="s">
        <v>1542</v>
      </c>
      <c r="G796" t="s">
        <v>1543</v>
      </c>
      <c r="H796">
        <v>2019</v>
      </c>
      <c r="I796" t="str">
        <f t="shared" si="54"/>
        <v>Piazzo Barbaresco2019</v>
      </c>
      <c r="J796">
        <f t="shared" si="52"/>
        <v>1</v>
      </c>
    </row>
    <row r="797" spans="1:10">
      <c r="A797" t="s">
        <v>1544</v>
      </c>
      <c r="B797" t="s">
        <v>1545</v>
      </c>
      <c r="C797" t="s">
        <v>137</v>
      </c>
      <c r="D797" t="str">
        <f t="shared" si="53"/>
        <v>Piazzo 'Frati' Barbaresco DOCG2017</v>
      </c>
      <c r="E797">
        <f t="shared" si="51"/>
        <v>1</v>
      </c>
      <c r="F797" t="s">
        <v>1544</v>
      </c>
      <c r="G797" t="s">
        <v>1545</v>
      </c>
      <c r="H797">
        <v>2017</v>
      </c>
      <c r="I797" t="str">
        <f t="shared" si="54"/>
        <v>Piazzo 'Frati' Barbaresco DOCG2017</v>
      </c>
      <c r="J797">
        <f t="shared" si="52"/>
        <v>1</v>
      </c>
    </row>
    <row r="798" spans="1:10">
      <c r="A798" t="s">
        <v>1546</v>
      </c>
      <c r="B798" t="s">
        <v>1547</v>
      </c>
      <c r="C798" t="s">
        <v>137</v>
      </c>
      <c r="D798" t="str">
        <f t="shared" si="53"/>
        <v>Piazzo 'Sottocastello di Novello' Barolo DOCG2017</v>
      </c>
      <c r="E798">
        <f t="shared" si="51"/>
        <v>1</v>
      </c>
      <c r="F798" t="s">
        <v>1546</v>
      </c>
      <c r="G798" t="s">
        <v>1547</v>
      </c>
      <c r="H798">
        <v>2017</v>
      </c>
      <c r="I798" t="str">
        <f t="shared" si="54"/>
        <v>Piazzo 'Sottocastello di Novello' Barolo DOCG2017</v>
      </c>
      <c r="J798">
        <f t="shared" si="52"/>
        <v>1</v>
      </c>
    </row>
    <row r="799" spans="1:10">
      <c r="A799" t="s">
        <v>1548</v>
      </c>
      <c r="B799" t="s">
        <v>1549</v>
      </c>
      <c r="C799" t="s">
        <v>129</v>
      </c>
      <c r="D799" t="str">
        <f t="shared" si="53"/>
        <v>Piazzo Nervo 'Vigna Giaia' Barbaresco Riserva2016</v>
      </c>
      <c r="E799">
        <f t="shared" si="51"/>
        <v>1</v>
      </c>
      <c r="F799" t="s">
        <v>1548</v>
      </c>
      <c r="G799" t="s">
        <v>1549</v>
      </c>
      <c r="H799">
        <v>2016</v>
      </c>
      <c r="I799" t="str">
        <f t="shared" si="54"/>
        <v>Piazzo Nervo 'Vigna Giaia' Barbaresco Riserva2016</v>
      </c>
      <c r="J799">
        <f t="shared" si="52"/>
        <v>1</v>
      </c>
    </row>
    <row r="800" spans="1:10">
      <c r="A800" t="s">
        <v>1550</v>
      </c>
      <c r="B800" t="s">
        <v>1549</v>
      </c>
      <c r="C800" t="s">
        <v>222</v>
      </c>
      <c r="D800" t="str">
        <f t="shared" si="53"/>
        <v>Piazzo Nervo 'Vigna Giaia' Barbaresco Riserva2015</v>
      </c>
      <c r="E800">
        <f t="shared" si="51"/>
        <v>1</v>
      </c>
      <c r="F800" t="s">
        <v>1550</v>
      </c>
      <c r="G800" t="s">
        <v>1549</v>
      </c>
      <c r="H800">
        <v>2015</v>
      </c>
      <c r="I800" t="str">
        <f t="shared" si="54"/>
        <v>Piazzo Nervo 'Vigna Giaia' Barbaresco Riserva2015</v>
      </c>
      <c r="J800">
        <f t="shared" si="52"/>
        <v>1</v>
      </c>
    </row>
    <row r="801" spans="1:10">
      <c r="A801" t="s">
        <v>1551</v>
      </c>
      <c r="B801" t="s">
        <v>1547</v>
      </c>
      <c r="C801" t="s">
        <v>111</v>
      </c>
      <c r="D801" t="str">
        <f t="shared" si="53"/>
        <v>Piazzo 'Sottocastello di Novello' Barolo DOCG2013</v>
      </c>
      <c r="E801">
        <f t="shared" si="51"/>
        <v>1</v>
      </c>
      <c r="F801" t="s">
        <v>1551</v>
      </c>
      <c r="G801" t="s">
        <v>1547</v>
      </c>
      <c r="H801">
        <v>2013</v>
      </c>
      <c r="I801" t="str">
        <f t="shared" si="54"/>
        <v>Piazzo 'Sottocastello di Novello' Barolo DOCG2013</v>
      </c>
      <c r="J801">
        <f t="shared" si="52"/>
        <v>1</v>
      </c>
    </row>
    <row r="802" spans="1:10">
      <c r="A802" t="s">
        <v>1552</v>
      </c>
      <c r="B802" t="s">
        <v>1553</v>
      </c>
      <c r="C802" t="s">
        <v>222</v>
      </c>
      <c r="D802" t="str">
        <f t="shared" si="53"/>
        <v>Piazzo Massim Spumante Metodo Classico Pas Dosé2015</v>
      </c>
      <c r="E802">
        <f t="shared" si="51"/>
        <v>1</v>
      </c>
      <c r="F802" t="s">
        <v>1552</v>
      </c>
      <c r="G802" t="s">
        <v>1553</v>
      </c>
      <c r="H802">
        <v>2015</v>
      </c>
      <c r="I802" t="str">
        <f t="shared" si="54"/>
        <v>Piazzo Massim Spumante Metodo Classico Pas Dosé2015</v>
      </c>
      <c r="J802">
        <f t="shared" si="52"/>
        <v>1</v>
      </c>
    </row>
    <row r="803" spans="1:10">
      <c r="A803" t="s">
        <v>1554</v>
      </c>
      <c r="B803" t="s">
        <v>1555</v>
      </c>
      <c r="C803" t="s">
        <v>30</v>
      </c>
      <c r="D803" t="str">
        <f t="shared" si="53"/>
        <v>Piazzo Moscato d'Asti DOCG2022</v>
      </c>
      <c r="E803">
        <f t="shared" si="51"/>
        <v>1</v>
      </c>
      <c r="F803" t="s">
        <v>1554</v>
      </c>
      <c r="G803" t="s">
        <v>1555</v>
      </c>
      <c r="H803">
        <v>2022</v>
      </c>
      <c r="I803" t="str">
        <f t="shared" si="54"/>
        <v>Piazzo Moscato d'Asti DOCG2022</v>
      </c>
      <c r="J803">
        <f t="shared" si="52"/>
        <v>1</v>
      </c>
    </row>
    <row r="804" spans="1:10">
      <c r="A804" t="s">
        <v>1556</v>
      </c>
      <c r="B804" t="s">
        <v>1557</v>
      </c>
      <c r="C804" t="s">
        <v>92</v>
      </c>
      <c r="D804" t="str">
        <f t="shared" si="53"/>
        <v>Piazzo Roero Arneis DOCG2020</v>
      </c>
      <c r="E804">
        <f t="shared" si="51"/>
        <v>1</v>
      </c>
      <c r="F804" t="s">
        <v>1556</v>
      </c>
      <c r="G804" t="s">
        <v>1557</v>
      </c>
      <c r="H804">
        <v>2020</v>
      </c>
      <c r="I804" t="str">
        <f t="shared" si="54"/>
        <v>Piazzo Roero Arneis DOCG2020</v>
      </c>
      <c r="J804">
        <f t="shared" si="52"/>
        <v>1</v>
      </c>
    </row>
    <row r="805" spans="1:10">
      <c r="A805" t="s">
        <v>1558</v>
      </c>
      <c r="B805" t="s">
        <v>1559</v>
      </c>
      <c r="C805" t="s">
        <v>289</v>
      </c>
      <c r="D805" t="str">
        <f t="shared" si="53"/>
        <v>Viotti Brachetto d'Acqui Cartos2023</v>
      </c>
      <c r="E805">
        <f t="shared" si="51"/>
        <v>1</v>
      </c>
      <c r="F805" t="s">
        <v>1558</v>
      </c>
      <c r="G805" t="s">
        <v>1559</v>
      </c>
      <c r="H805">
        <v>2023</v>
      </c>
      <c r="I805" t="str">
        <f t="shared" si="54"/>
        <v>Viotti Brachetto d'Acqui Cartos2023</v>
      </c>
      <c r="J805">
        <f t="shared" si="52"/>
        <v>1</v>
      </c>
    </row>
    <row r="806" spans="1:10">
      <c r="A806" t="s">
        <v>1560</v>
      </c>
      <c r="B806" t="s">
        <v>1561</v>
      </c>
      <c r="C806" t="s">
        <v>144</v>
      </c>
      <c r="D806" t="str">
        <f t="shared" si="53"/>
        <v>Ca' de Medici Malvasia Emilia Spumante AromaticaNV</v>
      </c>
      <c r="E806">
        <f t="shared" si="51"/>
        <v>1</v>
      </c>
      <c r="F806" t="s">
        <v>1560</v>
      </c>
      <c r="G806" t="s">
        <v>1561</v>
      </c>
      <c r="H806" t="s">
        <v>144</v>
      </c>
      <c r="I806" t="str">
        <f t="shared" si="54"/>
        <v>Ca' de Medici Malvasia Emilia Spumante AromaticaNV</v>
      </c>
      <c r="J806">
        <f t="shared" si="52"/>
        <v>1</v>
      </c>
    </row>
    <row r="807" spans="1:10">
      <c r="A807" t="s">
        <v>1563</v>
      </c>
      <c r="B807" t="s">
        <v>1564</v>
      </c>
      <c r="C807" t="s">
        <v>144</v>
      </c>
      <c r="D807" t="str">
        <f t="shared" si="53"/>
        <v>Ca' de Medici Reggiano Lambrusco Scuro DryNV</v>
      </c>
      <c r="E807">
        <f t="shared" si="51"/>
        <v>1</v>
      </c>
      <c r="F807" t="s">
        <v>1563</v>
      </c>
      <c r="G807" t="s">
        <v>1564</v>
      </c>
      <c r="H807" t="s">
        <v>144</v>
      </c>
      <c r="I807" t="str">
        <f t="shared" si="54"/>
        <v>Ca' de Medici Reggiano Lambrusco Scuro DryNV</v>
      </c>
      <c r="J807">
        <f t="shared" si="52"/>
        <v>1</v>
      </c>
    </row>
    <row r="808" spans="1:10">
      <c r="A808" t="s">
        <v>1565</v>
      </c>
      <c r="B808" t="s">
        <v>1566</v>
      </c>
      <c r="C808" t="s">
        <v>144</v>
      </c>
      <c r="D808" t="str">
        <f t="shared" si="53"/>
        <v>Ca' de Medici Remigiotto Reggiano Lambrusco Dolce Semi-SweetNV</v>
      </c>
      <c r="E808">
        <f t="shared" si="51"/>
        <v>1</v>
      </c>
      <c r="F808" t="s">
        <v>1565</v>
      </c>
      <c r="G808" t="s">
        <v>1566</v>
      </c>
      <c r="H808" t="s">
        <v>144</v>
      </c>
      <c r="I808" t="str">
        <f t="shared" si="54"/>
        <v>Ca' de Medici Remigiotto Reggiano Lambrusco Dolce Semi-SweetNV</v>
      </c>
      <c r="J808">
        <f t="shared" si="52"/>
        <v>1</v>
      </c>
    </row>
    <row r="809" spans="1:10">
      <c r="A809" t="s">
        <v>1567</v>
      </c>
      <c r="B809" t="s">
        <v>1566</v>
      </c>
      <c r="C809" t="s">
        <v>144</v>
      </c>
      <c r="D809" t="str">
        <f t="shared" si="53"/>
        <v>Ca' de Medici Remigiotto Reggiano Lambrusco Dolce Semi-SweetNV</v>
      </c>
      <c r="E809">
        <f t="shared" si="51"/>
        <v>1</v>
      </c>
      <c r="F809" t="s">
        <v>1567</v>
      </c>
      <c r="G809" t="s">
        <v>1566</v>
      </c>
      <c r="H809" t="s">
        <v>144</v>
      </c>
      <c r="I809" t="str">
        <f t="shared" si="54"/>
        <v>Ca' de Medici Remigiotto Reggiano Lambrusco Dolce Semi-SweetNV</v>
      </c>
      <c r="J809">
        <f t="shared" si="52"/>
        <v>1</v>
      </c>
    </row>
    <row r="810" spans="1:10">
      <c r="A810" t="s">
        <v>1568</v>
      </c>
      <c r="B810" t="s">
        <v>1569</v>
      </c>
      <c r="C810" t="s">
        <v>1537</v>
      </c>
      <c r="D810" t="str">
        <f t="shared" si="53"/>
        <v>Angel Wings Star Crossing Shiraz2024</v>
      </c>
      <c r="E810">
        <f t="shared" si="51"/>
        <v>1</v>
      </c>
      <c r="F810" t="s">
        <v>1568</v>
      </c>
      <c r="G810" t="s">
        <v>1569</v>
      </c>
      <c r="H810">
        <v>2024</v>
      </c>
      <c r="I810" t="str">
        <f t="shared" si="54"/>
        <v>Angel Wings Star Crossing Shiraz2024</v>
      </c>
      <c r="J810">
        <f t="shared" si="52"/>
        <v>1</v>
      </c>
    </row>
    <row r="811" spans="1:10">
      <c r="A811" t="s">
        <v>1570</v>
      </c>
      <c r="B811" t="s">
        <v>1571</v>
      </c>
      <c r="C811" t="s">
        <v>1537</v>
      </c>
      <c r="D811" t="str">
        <f t="shared" si="53"/>
        <v>Angel Wings Star Crossing Chardonnay2024</v>
      </c>
      <c r="E811">
        <f t="shared" si="51"/>
        <v>1</v>
      </c>
      <c r="F811" t="s">
        <v>1570</v>
      </c>
      <c r="G811" t="s">
        <v>1571</v>
      </c>
      <c r="H811">
        <v>2024</v>
      </c>
      <c r="I811" t="str">
        <f t="shared" si="54"/>
        <v>Angel Wings Star Crossing Chardonnay2024</v>
      </c>
      <c r="J811">
        <f t="shared" si="52"/>
        <v>1</v>
      </c>
    </row>
    <row r="812" spans="1:10">
      <c r="A812" t="s">
        <v>1572</v>
      </c>
      <c r="B812" t="s">
        <v>1573</v>
      </c>
      <c r="C812" t="s">
        <v>1537</v>
      </c>
      <c r="D812" t="str">
        <f t="shared" si="53"/>
        <v>Angel Wings Star Crossing Sauvignon Blanc2024</v>
      </c>
      <c r="E812">
        <f t="shared" si="51"/>
        <v>1</v>
      </c>
      <c r="F812" t="s">
        <v>1572</v>
      </c>
      <c r="G812" t="s">
        <v>1573</v>
      </c>
      <c r="H812">
        <v>2024</v>
      </c>
      <c r="I812" t="str">
        <f t="shared" si="54"/>
        <v>Angel Wings Star Crossing Sauvignon Blanc2024</v>
      </c>
      <c r="J812">
        <f t="shared" si="52"/>
        <v>1</v>
      </c>
    </row>
    <row r="813" spans="1:10">
      <c r="A813" t="s">
        <v>1575</v>
      </c>
      <c r="B813" t="s">
        <v>1576</v>
      </c>
      <c r="C813" t="s">
        <v>81</v>
      </c>
      <c r="D813" t="str">
        <f t="shared" si="53"/>
        <v>Eight at the Gate Single Vineyard Cabernet Sauvignon2019</v>
      </c>
      <c r="E813">
        <f t="shared" si="51"/>
        <v>1</v>
      </c>
      <c r="F813" t="s">
        <v>1575</v>
      </c>
      <c r="G813" t="s">
        <v>1576</v>
      </c>
      <c r="H813">
        <v>2019</v>
      </c>
      <c r="I813" t="str">
        <f t="shared" si="54"/>
        <v>Eight at the Gate Single Vineyard Cabernet Sauvignon2019</v>
      </c>
      <c r="J813">
        <f t="shared" si="52"/>
        <v>1</v>
      </c>
    </row>
    <row r="814" spans="1:10">
      <c r="A814" t="s">
        <v>1577</v>
      </c>
      <c r="B814" t="s">
        <v>1578</v>
      </c>
      <c r="C814" t="s">
        <v>81</v>
      </c>
      <c r="D814" t="str">
        <f t="shared" si="53"/>
        <v>Eight at the Gate Single Vineyard Cabernet Shiraz2019</v>
      </c>
      <c r="E814">
        <f t="shared" si="51"/>
        <v>1</v>
      </c>
      <c r="F814" t="s">
        <v>1577</v>
      </c>
      <c r="G814" t="s">
        <v>1578</v>
      </c>
      <c r="H814">
        <v>2019</v>
      </c>
      <c r="I814" t="str">
        <f t="shared" si="54"/>
        <v>Eight at the Gate Single Vineyard Cabernet Shiraz2019</v>
      </c>
      <c r="J814">
        <f t="shared" si="52"/>
        <v>1</v>
      </c>
    </row>
    <row r="815" spans="1:10">
      <c r="A815" t="s">
        <v>1579</v>
      </c>
      <c r="B815" t="s">
        <v>1580</v>
      </c>
      <c r="C815" t="s">
        <v>81</v>
      </c>
      <c r="D815" t="str">
        <f t="shared" si="53"/>
        <v>Eight at the Gate Single Vineyard Family Selection Shiraz2019</v>
      </c>
      <c r="E815">
        <f t="shared" si="51"/>
        <v>1</v>
      </c>
      <c r="F815" t="s">
        <v>1579</v>
      </c>
      <c r="G815" t="s">
        <v>1580</v>
      </c>
      <c r="H815">
        <v>2019</v>
      </c>
      <c r="I815" t="str">
        <f t="shared" si="54"/>
        <v>Eight at the Gate Single Vineyard Family Selection Shiraz2019</v>
      </c>
      <c r="J815">
        <f t="shared" si="52"/>
        <v>1</v>
      </c>
    </row>
    <row r="816" spans="1:10">
      <c r="A816" t="s">
        <v>1581</v>
      </c>
      <c r="B816" t="s">
        <v>1582</v>
      </c>
      <c r="C816" t="s">
        <v>137</v>
      </c>
      <c r="D816" t="str">
        <f t="shared" si="53"/>
        <v>Eight at the Gate Single Vineyard Chardonnay2017</v>
      </c>
      <c r="E816">
        <f t="shared" si="51"/>
        <v>1</v>
      </c>
      <c r="F816" t="s">
        <v>1581</v>
      </c>
      <c r="G816" t="s">
        <v>1582</v>
      </c>
      <c r="H816">
        <v>2017</v>
      </c>
      <c r="I816" t="str">
        <f t="shared" si="54"/>
        <v>Eight at the Gate Single Vineyard Chardonnay2017</v>
      </c>
      <c r="J816">
        <f t="shared" si="52"/>
        <v>1</v>
      </c>
    </row>
    <row r="817" spans="1:10">
      <c r="A817" t="s">
        <v>1583</v>
      </c>
      <c r="B817" t="s">
        <v>1584</v>
      </c>
      <c r="C817" t="s">
        <v>1537</v>
      </c>
      <c r="D817" t="str">
        <f t="shared" si="53"/>
        <v>Sheila Pink Moscato2024</v>
      </c>
      <c r="E817">
        <f t="shared" si="51"/>
        <v>1</v>
      </c>
      <c r="F817" t="s">
        <v>1583</v>
      </c>
      <c r="G817" t="s">
        <v>1584</v>
      </c>
      <c r="H817">
        <v>2024</v>
      </c>
      <c r="I817" t="str">
        <f t="shared" si="54"/>
        <v>Sheila Pink Moscato2024</v>
      </c>
      <c r="J817">
        <f t="shared" si="52"/>
        <v>1</v>
      </c>
    </row>
    <row r="818" spans="1:10">
      <c r="A818" t="s">
        <v>1585</v>
      </c>
      <c r="B818" t="s">
        <v>1586</v>
      </c>
      <c r="C818" t="s">
        <v>713</v>
      </c>
      <c r="D818" t="str">
        <f t="shared" si="53"/>
        <v>Dr. Pauly-Bergweiler Brauneberger Juffer Sonnenuhr Riesling Kabinett2000</v>
      </c>
      <c r="E818">
        <f t="shared" si="51"/>
        <v>1</v>
      </c>
      <c r="F818" t="s">
        <v>1585</v>
      </c>
      <c r="G818" t="s">
        <v>1586</v>
      </c>
      <c r="H818">
        <v>2000</v>
      </c>
      <c r="I818" t="str">
        <f t="shared" si="54"/>
        <v>Dr. Pauly-Bergweiler Brauneberger Juffer Sonnenuhr Riesling Kabinett2000</v>
      </c>
      <c r="J818">
        <f t="shared" si="52"/>
        <v>1</v>
      </c>
    </row>
    <row r="819" spans="1:10">
      <c r="A819" t="s">
        <v>1598</v>
      </c>
      <c r="B819" t="s">
        <v>1599</v>
      </c>
      <c r="C819" t="s">
        <v>1600</v>
      </c>
      <c r="D819" t="str">
        <f t="shared" si="53"/>
        <v>Dr. Pauly-Bergweiler Brauneberger Juffer Sonnenuhr Riesling Spatlese1997</v>
      </c>
      <c r="E819">
        <f t="shared" si="51"/>
        <v>1</v>
      </c>
      <c r="F819" t="s">
        <v>1598</v>
      </c>
      <c r="G819" t="s">
        <v>1599</v>
      </c>
      <c r="H819">
        <v>1997</v>
      </c>
      <c r="I819" t="str">
        <f t="shared" si="54"/>
        <v>Dr. Pauly-Bergweiler Brauneberger Juffer Sonnenuhr Riesling Spatlese1997</v>
      </c>
      <c r="J819">
        <f t="shared" si="52"/>
        <v>1</v>
      </c>
    </row>
    <row r="820" spans="1:10">
      <c r="A820" t="s">
        <v>1609</v>
      </c>
      <c r="B820" t="s">
        <v>1599</v>
      </c>
      <c r="C820" t="s">
        <v>425</v>
      </c>
      <c r="D820" t="str">
        <f t="shared" si="53"/>
        <v>Dr. Pauly-Bergweiler Brauneberger Juffer Sonnenuhr Riesling Spatlese2002</v>
      </c>
      <c r="E820">
        <f t="shared" si="51"/>
        <v>1</v>
      </c>
      <c r="F820" t="s">
        <v>1609</v>
      </c>
      <c r="G820" t="s">
        <v>1599</v>
      </c>
      <c r="H820">
        <v>2002</v>
      </c>
      <c r="I820" t="str">
        <f t="shared" si="54"/>
        <v>Dr. Pauly-Bergweiler Brauneberger Juffer Sonnenuhr Riesling Spatlese2002</v>
      </c>
      <c r="J820">
        <f t="shared" si="52"/>
        <v>1</v>
      </c>
    </row>
    <row r="821" spans="1:10">
      <c r="A821" t="s">
        <v>1617</v>
      </c>
      <c r="B821" t="s">
        <v>1618</v>
      </c>
      <c r="C821" t="s">
        <v>917</v>
      </c>
      <c r="D821" t="str">
        <f t="shared" si="53"/>
        <v>Dr. Pauly-Bergweiler Brauneberger Juffer Riesling Spatlese1998</v>
      </c>
      <c r="E821">
        <f t="shared" si="51"/>
        <v>1</v>
      </c>
      <c r="F821" t="s">
        <v>1617</v>
      </c>
      <c r="G821" t="s">
        <v>1618</v>
      </c>
      <c r="H821">
        <v>1998</v>
      </c>
      <c r="I821" t="str">
        <f t="shared" si="54"/>
        <v>Dr. Pauly-Bergweiler Brauneberger Juffer Riesling Spatlese1998</v>
      </c>
      <c r="J821">
        <f t="shared" si="52"/>
        <v>1</v>
      </c>
    </row>
    <row r="822" spans="1:10">
      <c r="A822" t="s">
        <v>1623</v>
      </c>
      <c r="B822" t="s">
        <v>1624</v>
      </c>
      <c r="C822" t="s">
        <v>121</v>
      </c>
      <c r="D822" t="str">
        <f t="shared" si="53"/>
        <v>Dr. Pauly-Bergweiler Brauneberger Juffer Riesling Auslese2001</v>
      </c>
      <c r="E822">
        <f t="shared" si="51"/>
        <v>1</v>
      </c>
      <c r="F822" t="s">
        <v>1623</v>
      </c>
      <c r="G822" t="s">
        <v>1624</v>
      </c>
      <c r="H822">
        <v>2001</v>
      </c>
      <c r="I822" t="str">
        <f t="shared" si="54"/>
        <v>Dr. Pauly-Bergweiler Brauneberger Juffer Riesling Auslese2001</v>
      </c>
      <c r="J822">
        <f t="shared" si="52"/>
        <v>1</v>
      </c>
    </row>
    <row r="823" spans="1:10">
      <c r="A823" t="s">
        <v>1625</v>
      </c>
      <c r="B823" t="s">
        <v>1626</v>
      </c>
      <c r="C823" t="s">
        <v>1627</v>
      </c>
      <c r="D823" t="str">
        <f t="shared" si="53"/>
        <v>Dr. Pauly-Bergweiler Brauneberger Juffer Sonnenuhr Riesling Auslese1976</v>
      </c>
      <c r="E823">
        <f t="shared" si="51"/>
        <v>1</v>
      </c>
      <c r="F823" t="s">
        <v>1625</v>
      </c>
      <c r="G823" t="s">
        <v>1626</v>
      </c>
      <c r="H823">
        <v>1976</v>
      </c>
      <c r="I823" t="str">
        <f t="shared" si="54"/>
        <v>Dr. Pauly-Bergweiler Brauneberger Juffer Sonnenuhr Riesling Auslese1976</v>
      </c>
      <c r="J823">
        <f t="shared" si="52"/>
        <v>1</v>
      </c>
    </row>
    <row r="824" spans="1:10">
      <c r="A824" t="s">
        <v>1628</v>
      </c>
      <c r="B824" t="s">
        <v>1629</v>
      </c>
      <c r="C824" t="s">
        <v>289</v>
      </c>
      <c r="D824" t="str">
        <f t="shared" si="53"/>
        <v>Peter Meyer Mosel Riesling2023</v>
      </c>
      <c r="E824">
        <f t="shared" si="51"/>
        <v>1</v>
      </c>
      <c r="F824" t="s">
        <v>1628</v>
      </c>
      <c r="G824" t="s">
        <v>1629</v>
      </c>
      <c r="H824">
        <v>2023</v>
      </c>
      <c r="I824" t="str">
        <f t="shared" si="54"/>
        <v>Peter Meyer Mosel Riesling2023</v>
      </c>
      <c r="J824">
        <f t="shared" si="52"/>
        <v>1</v>
      </c>
    </row>
    <row r="825" spans="1:10">
      <c r="A825" t="s">
        <v>1631</v>
      </c>
      <c r="B825" t="s">
        <v>1632</v>
      </c>
      <c r="C825" t="s">
        <v>30</v>
      </c>
      <c r="D825" t="str">
        <f t="shared" si="53"/>
        <v>Allan Scott Pinot Noir2022</v>
      </c>
      <c r="E825">
        <f t="shared" si="51"/>
        <v>1</v>
      </c>
      <c r="F825" t="s">
        <v>1631</v>
      </c>
      <c r="G825" t="s">
        <v>1632</v>
      </c>
      <c r="H825">
        <v>2022</v>
      </c>
      <c r="I825" t="str">
        <f t="shared" si="54"/>
        <v>Allan Scott Pinot Noir2022</v>
      </c>
      <c r="J825">
        <f t="shared" si="52"/>
        <v>1</v>
      </c>
    </row>
    <row r="826" spans="1:10">
      <c r="A826" t="s">
        <v>1634</v>
      </c>
      <c r="B826" t="s">
        <v>1635</v>
      </c>
      <c r="C826" t="s">
        <v>144</v>
      </c>
      <c r="D826" t="str">
        <f t="shared" si="53"/>
        <v>Allan Scott Cecilia BrutNV</v>
      </c>
      <c r="E826">
        <f t="shared" si="51"/>
        <v>1</v>
      </c>
      <c r="F826" t="s">
        <v>1634</v>
      </c>
      <c r="G826" t="s">
        <v>1635</v>
      </c>
      <c r="H826" t="s">
        <v>144</v>
      </c>
      <c r="I826" t="str">
        <f t="shared" si="54"/>
        <v>Allan Scott Cecilia BrutNV</v>
      </c>
      <c r="J826">
        <f t="shared" si="52"/>
        <v>1</v>
      </c>
    </row>
    <row r="827" spans="1:10">
      <c r="A827" t="s">
        <v>1636</v>
      </c>
      <c r="B827" t="s">
        <v>1637</v>
      </c>
      <c r="C827" t="s">
        <v>289</v>
      </c>
      <c r="D827" t="str">
        <f t="shared" si="53"/>
        <v>Aroha Bay Sauvignon Blanc2023</v>
      </c>
      <c r="E827">
        <f t="shared" si="51"/>
        <v>1</v>
      </c>
      <c r="F827" t="s">
        <v>1636</v>
      </c>
      <c r="G827" t="s">
        <v>1637</v>
      </c>
      <c r="H827">
        <v>2023</v>
      </c>
      <c r="I827" t="str">
        <f t="shared" si="54"/>
        <v>Aroha Bay Sauvignon Blanc2023</v>
      </c>
      <c r="J827">
        <f t="shared" si="52"/>
        <v>1</v>
      </c>
    </row>
    <row r="828" spans="1:10">
      <c r="A828" t="s">
        <v>1638</v>
      </c>
      <c r="B828" t="s">
        <v>1639</v>
      </c>
      <c r="C828" t="s">
        <v>289</v>
      </c>
      <c r="D828" t="str">
        <f t="shared" si="53"/>
        <v>Allan Scott Estate Sauvignon Blanc2023</v>
      </c>
      <c r="E828">
        <f t="shared" si="51"/>
        <v>1</v>
      </c>
      <c r="F828" t="s">
        <v>1638</v>
      </c>
      <c r="G828" t="s">
        <v>1639</v>
      </c>
      <c r="H828">
        <v>2023</v>
      </c>
      <c r="I828" t="str">
        <f t="shared" si="54"/>
        <v>Allan Scott Estate Sauvignon Blanc2023</v>
      </c>
      <c r="J828">
        <f t="shared" si="52"/>
        <v>1</v>
      </c>
    </row>
    <row r="829" spans="1:10">
      <c r="A829" t="s">
        <v>1640</v>
      </c>
      <c r="B829" t="s">
        <v>1641</v>
      </c>
      <c r="C829" t="s">
        <v>92</v>
      </c>
      <c r="D829" t="str">
        <f t="shared" si="53"/>
        <v>Allan Scott Black Label Chardonnay2020</v>
      </c>
      <c r="E829">
        <f t="shared" si="51"/>
        <v>1</v>
      </c>
      <c r="F829" t="s">
        <v>1640</v>
      </c>
      <c r="G829" t="s">
        <v>1641</v>
      </c>
      <c r="H829">
        <v>2020</v>
      </c>
      <c r="I829" t="str">
        <f t="shared" si="54"/>
        <v>Allan Scott Black Label Chardonnay2020</v>
      </c>
      <c r="J829">
        <f t="shared" si="52"/>
        <v>1</v>
      </c>
    </row>
    <row r="830" spans="1:10">
      <c r="A830" t="s">
        <v>1642</v>
      </c>
      <c r="B830" t="s">
        <v>1643</v>
      </c>
      <c r="C830" t="s">
        <v>30</v>
      </c>
      <c r="D830" t="str">
        <f t="shared" si="53"/>
        <v>Allan Scott Riesling2022</v>
      </c>
      <c r="E830">
        <f t="shared" si="51"/>
        <v>1</v>
      </c>
      <c r="F830" t="s">
        <v>1642</v>
      </c>
      <c r="G830" t="s">
        <v>1643</v>
      </c>
      <c r="H830">
        <v>2022</v>
      </c>
      <c r="I830" t="str">
        <f t="shared" si="54"/>
        <v>Allan Scott Riesling2022</v>
      </c>
      <c r="J830">
        <f t="shared" si="52"/>
        <v>1</v>
      </c>
    </row>
    <row r="831" spans="1:10">
      <c r="A831" t="s">
        <v>1645</v>
      </c>
      <c r="B831" t="s">
        <v>1646</v>
      </c>
      <c r="C831" t="s">
        <v>289</v>
      </c>
      <c r="D831" t="str">
        <f t="shared" si="53"/>
        <v>Allan Scott Black Label Sauvignon Blanc2023</v>
      </c>
      <c r="E831">
        <f t="shared" si="51"/>
        <v>1</v>
      </c>
      <c r="F831" t="s">
        <v>1645</v>
      </c>
      <c r="G831" t="s">
        <v>1646</v>
      </c>
      <c r="H831">
        <v>2023</v>
      </c>
      <c r="I831" t="str">
        <f t="shared" si="54"/>
        <v>Allan Scott Black Label Sauvignon Blanc2023</v>
      </c>
      <c r="J831">
        <f t="shared" si="52"/>
        <v>1</v>
      </c>
    </row>
    <row r="832" spans="1:10">
      <c r="A832" t="s">
        <v>1647</v>
      </c>
      <c r="B832" t="s">
        <v>1648</v>
      </c>
      <c r="C832" t="s">
        <v>56</v>
      </c>
      <c r="D832" t="str">
        <f t="shared" si="53"/>
        <v>Misty Cove Landmark Pinot Noir2021</v>
      </c>
      <c r="E832">
        <f t="shared" si="51"/>
        <v>1</v>
      </c>
      <c r="F832" t="s">
        <v>1647</v>
      </c>
      <c r="G832" t="s">
        <v>1648</v>
      </c>
      <c r="H832">
        <v>2021</v>
      </c>
      <c r="I832" t="str">
        <f t="shared" si="54"/>
        <v>Misty Cove Landmark Pinot Noir2021</v>
      </c>
      <c r="J832">
        <f t="shared" si="52"/>
        <v>1</v>
      </c>
    </row>
    <row r="833" spans="1:10">
      <c r="A833" t="s">
        <v>1650</v>
      </c>
      <c r="B833" t="s">
        <v>1651</v>
      </c>
      <c r="C833" t="s">
        <v>289</v>
      </c>
      <c r="D833" t="str">
        <f t="shared" si="53"/>
        <v>Misty Cove Landmark Sauvignon Blanc2023</v>
      </c>
      <c r="E833">
        <f t="shared" si="51"/>
        <v>1</v>
      </c>
      <c r="F833" t="s">
        <v>1650</v>
      </c>
      <c r="G833" t="s">
        <v>1651</v>
      </c>
      <c r="H833">
        <v>2023</v>
      </c>
      <c r="I833" t="str">
        <f t="shared" si="54"/>
        <v>Misty Cove Landmark Sauvignon Blanc2023</v>
      </c>
      <c r="J833">
        <f t="shared" si="52"/>
        <v>1</v>
      </c>
    </row>
    <row r="834" spans="1:10">
      <c r="A834" t="s">
        <v>1652</v>
      </c>
      <c r="B834" t="s">
        <v>1653</v>
      </c>
      <c r="C834" t="s">
        <v>30</v>
      </c>
      <c r="D834" t="str">
        <f t="shared" si="53"/>
        <v>Misty Cove Landmark Grüner Veltliner2022</v>
      </c>
      <c r="E834">
        <f t="shared" si="51"/>
        <v>1</v>
      </c>
      <c r="F834" t="s">
        <v>1652</v>
      </c>
      <c r="G834" t="s">
        <v>1653</v>
      </c>
      <c r="H834">
        <v>2022</v>
      </c>
      <c r="I834" t="str">
        <f t="shared" si="54"/>
        <v>Misty Cove Landmark Grüner Veltliner2022</v>
      </c>
      <c r="J834">
        <f t="shared" si="52"/>
        <v>1</v>
      </c>
    </row>
    <row r="835" spans="1:10">
      <c r="A835" t="s">
        <v>1660</v>
      </c>
      <c r="B835" t="s">
        <v>1661</v>
      </c>
      <c r="C835" t="s">
        <v>1537</v>
      </c>
      <c r="D835" t="str">
        <f t="shared" si="53"/>
        <v>Misty Cove Landmark Gewürztraminer2024</v>
      </c>
      <c r="E835">
        <f t="shared" ref="E835:E898" si="55">IF(A835=F835,1,0)</f>
        <v>1</v>
      </c>
      <c r="F835" t="s">
        <v>1660</v>
      </c>
      <c r="G835" t="s">
        <v>1661</v>
      </c>
      <c r="H835">
        <v>2024</v>
      </c>
      <c r="I835" t="str">
        <f t="shared" si="54"/>
        <v>Misty Cove Landmark Gewürztraminer2024</v>
      </c>
      <c r="J835">
        <f t="shared" ref="J835:J898" si="56">IF(D835=I835,1,0)</f>
        <v>1</v>
      </c>
    </row>
    <row r="836" spans="1:10">
      <c r="A836" t="s">
        <v>1669</v>
      </c>
      <c r="B836" t="s">
        <v>1670</v>
      </c>
      <c r="C836" t="s">
        <v>1537</v>
      </c>
      <c r="D836" t="str">
        <f t="shared" si="53"/>
        <v>Misty Cove Landmark Riesling2024</v>
      </c>
      <c r="E836">
        <f t="shared" si="55"/>
        <v>1</v>
      </c>
      <c r="F836" t="s">
        <v>1669</v>
      </c>
      <c r="G836" t="s">
        <v>1670</v>
      </c>
      <c r="H836">
        <v>2024</v>
      </c>
      <c r="I836" t="str">
        <f t="shared" si="54"/>
        <v>Misty Cove Landmark Riesling2024</v>
      </c>
      <c r="J836">
        <f t="shared" si="56"/>
        <v>1</v>
      </c>
    </row>
    <row r="837" spans="1:10">
      <c r="A837" t="s">
        <v>1675</v>
      </c>
      <c r="B837" t="s">
        <v>1676</v>
      </c>
      <c r="C837" t="s">
        <v>30</v>
      </c>
      <c r="D837" t="str">
        <f t="shared" si="53"/>
        <v>Misty Cove Waihopai Limited Edition2022</v>
      </c>
      <c r="E837">
        <f t="shared" si="55"/>
        <v>1</v>
      </c>
      <c r="F837" t="s">
        <v>1675</v>
      </c>
      <c r="G837" t="s">
        <v>1676</v>
      </c>
      <c r="H837">
        <v>2022</v>
      </c>
      <c r="I837" t="str">
        <f t="shared" si="54"/>
        <v>Misty Cove Waihopai Limited Edition2022</v>
      </c>
      <c r="J837">
        <f t="shared" si="56"/>
        <v>1</v>
      </c>
    </row>
    <row r="838" spans="1:10">
      <c r="A838" t="s">
        <v>1686</v>
      </c>
      <c r="B838" t="s">
        <v>1687</v>
      </c>
      <c r="C838" t="s">
        <v>30</v>
      </c>
      <c r="D838" t="str">
        <f t="shared" si="53"/>
        <v>Misty Cove Tamahine2022</v>
      </c>
      <c r="E838">
        <f t="shared" si="55"/>
        <v>1</v>
      </c>
      <c r="F838" t="s">
        <v>1686</v>
      </c>
      <c r="G838" t="s">
        <v>1687</v>
      </c>
      <c r="H838">
        <v>2022</v>
      </c>
      <c r="I838" t="str">
        <f t="shared" si="54"/>
        <v>Misty Cove Tamahine2022</v>
      </c>
      <c r="J838">
        <f t="shared" si="56"/>
        <v>1</v>
      </c>
    </row>
    <row r="839" spans="1:10">
      <c r="A839" t="s">
        <v>1688</v>
      </c>
      <c r="B839" t="s">
        <v>1689</v>
      </c>
      <c r="C839" t="s">
        <v>30</v>
      </c>
      <c r="D839" t="str">
        <f t="shared" ref="D839:D902" si="57">B839&amp;C839</f>
        <v>Misty Cove Landmark Chardonnay2022</v>
      </c>
      <c r="E839">
        <f t="shared" si="55"/>
        <v>1</v>
      </c>
      <c r="F839" t="s">
        <v>1688</v>
      </c>
      <c r="G839" t="s">
        <v>1689</v>
      </c>
      <c r="H839">
        <v>2022</v>
      </c>
      <c r="I839" t="str">
        <f t="shared" ref="I839:I902" si="58">G839&amp;H839</f>
        <v>Misty Cove Landmark Chardonnay2022</v>
      </c>
      <c r="J839">
        <f t="shared" si="56"/>
        <v>1</v>
      </c>
    </row>
    <row r="840" spans="1:10">
      <c r="A840" t="s">
        <v>1690</v>
      </c>
      <c r="B840" t="s">
        <v>1691</v>
      </c>
      <c r="C840" t="s">
        <v>289</v>
      </c>
      <c r="D840" t="str">
        <f t="shared" si="57"/>
        <v>Misty Cove 1203 Chardonnay2023</v>
      </c>
      <c r="E840">
        <f t="shared" si="55"/>
        <v>1</v>
      </c>
      <c r="F840" t="s">
        <v>1690</v>
      </c>
      <c r="G840" t="s">
        <v>1691</v>
      </c>
      <c r="H840">
        <v>2023</v>
      </c>
      <c r="I840" t="str">
        <f t="shared" si="58"/>
        <v>Misty Cove 1203 Chardonnay2023</v>
      </c>
      <c r="J840">
        <f t="shared" si="56"/>
        <v>1</v>
      </c>
    </row>
    <row r="841" spans="1:10">
      <c r="A841" t="s">
        <v>1692</v>
      </c>
      <c r="B841" t="s">
        <v>1693</v>
      </c>
      <c r="C841" t="s">
        <v>289</v>
      </c>
      <c r="D841" t="str">
        <f t="shared" si="57"/>
        <v>Misty Cove 1203 Pinot Noir2023</v>
      </c>
      <c r="E841">
        <f t="shared" si="55"/>
        <v>1</v>
      </c>
      <c r="F841" t="s">
        <v>1692</v>
      </c>
      <c r="G841" t="s">
        <v>1693</v>
      </c>
      <c r="H841">
        <v>2023</v>
      </c>
      <c r="I841" t="str">
        <f t="shared" si="58"/>
        <v>Misty Cove 1203 Pinot Noir2023</v>
      </c>
      <c r="J841">
        <f t="shared" si="56"/>
        <v>1</v>
      </c>
    </row>
    <row r="842" spans="1:10">
      <c r="A842" t="s">
        <v>1694</v>
      </c>
      <c r="B842" t="s">
        <v>1695</v>
      </c>
      <c r="C842" t="s">
        <v>56</v>
      </c>
      <c r="D842" t="str">
        <f t="shared" si="57"/>
        <v>Atalaya 'La Atalaya del Camino'2021</v>
      </c>
      <c r="E842">
        <f t="shared" si="55"/>
        <v>1</v>
      </c>
      <c r="F842" t="s">
        <v>1694</v>
      </c>
      <c r="G842" t="s">
        <v>1695</v>
      </c>
      <c r="H842">
        <v>2021</v>
      </c>
      <c r="I842" t="str">
        <f t="shared" si="58"/>
        <v>Atalaya 'La Atalaya del Camino'2021</v>
      </c>
      <c r="J842">
        <f t="shared" si="56"/>
        <v>1</v>
      </c>
    </row>
    <row r="843" spans="1:10">
      <c r="A843" t="s">
        <v>1696</v>
      </c>
      <c r="B843" t="s">
        <v>1695</v>
      </c>
      <c r="C843" t="s">
        <v>30</v>
      </c>
      <c r="D843" t="str">
        <f t="shared" si="57"/>
        <v>Atalaya 'La Atalaya del Camino'2022</v>
      </c>
      <c r="E843">
        <f t="shared" si="55"/>
        <v>1</v>
      </c>
      <c r="F843" t="s">
        <v>1696</v>
      </c>
      <c r="G843" t="s">
        <v>1695</v>
      </c>
      <c r="H843">
        <v>2022</v>
      </c>
      <c r="I843" t="str">
        <f t="shared" si="58"/>
        <v>Atalaya 'La Atalaya del Camino'2022</v>
      </c>
      <c r="J843">
        <f t="shared" si="56"/>
        <v>1</v>
      </c>
    </row>
    <row r="844" spans="1:10">
      <c r="A844" t="s">
        <v>1697</v>
      </c>
      <c r="B844" t="s">
        <v>1698</v>
      </c>
      <c r="C844" t="s">
        <v>30</v>
      </c>
      <c r="D844" t="str">
        <f t="shared" si="57"/>
        <v>Atalaya 'Alaya Tierra'2022</v>
      </c>
      <c r="E844">
        <f t="shared" si="55"/>
        <v>1</v>
      </c>
      <c r="F844" t="s">
        <v>1697</v>
      </c>
      <c r="G844" t="s">
        <v>1698</v>
      </c>
      <c r="H844">
        <v>2022</v>
      </c>
      <c r="I844" t="str">
        <f t="shared" si="58"/>
        <v>Atalaya 'Alaya Tierra'2022</v>
      </c>
      <c r="J844">
        <f t="shared" si="56"/>
        <v>1</v>
      </c>
    </row>
    <row r="845" spans="1:10">
      <c r="A845" t="s">
        <v>1699</v>
      </c>
      <c r="B845" t="s">
        <v>1700</v>
      </c>
      <c r="C845" t="s">
        <v>30</v>
      </c>
      <c r="D845" t="str">
        <f t="shared" si="57"/>
        <v>Bodegas Juan Gil 'Intruso' Garnacha Calatayud2022</v>
      </c>
      <c r="E845">
        <f t="shared" si="55"/>
        <v>1</v>
      </c>
      <c r="F845" t="s">
        <v>1699</v>
      </c>
      <c r="G845" t="s">
        <v>1700</v>
      </c>
      <c r="H845">
        <v>2022</v>
      </c>
      <c r="I845" t="str">
        <f t="shared" si="58"/>
        <v>Bodegas Juan Gil 'Intruso' Garnacha Calatayud2022</v>
      </c>
      <c r="J845">
        <f t="shared" si="56"/>
        <v>1</v>
      </c>
    </row>
    <row r="846" spans="1:10">
      <c r="A846" t="s">
        <v>1701</v>
      </c>
      <c r="B846" t="s">
        <v>1702</v>
      </c>
      <c r="C846" t="s">
        <v>30</v>
      </c>
      <c r="D846" t="str">
        <f t="shared" si="57"/>
        <v>Bodegas Juan Gil 'Intruso' Red Blend Montsant2022</v>
      </c>
      <c r="E846">
        <f t="shared" si="55"/>
        <v>1</v>
      </c>
      <c r="F846" t="s">
        <v>1701</v>
      </c>
      <c r="G846" t="s">
        <v>1702</v>
      </c>
      <c r="H846">
        <v>2022</v>
      </c>
      <c r="I846" t="str">
        <f t="shared" si="58"/>
        <v>Bodegas Juan Gil 'Intruso' Red Blend Montsant2022</v>
      </c>
      <c r="J846">
        <f t="shared" si="56"/>
        <v>1</v>
      </c>
    </row>
    <row r="847" spans="1:10">
      <c r="A847" t="s">
        <v>1703</v>
      </c>
      <c r="B847" t="s">
        <v>1704</v>
      </c>
      <c r="C847" t="s">
        <v>30</v>
      </c>
      <c r="D847" t="str">
        <f t="shared" si="57"/>
        <v>Bodegas Juan Gil Blue Label2022</v>
      </c>
      <c r="E847">
        <f t="shared" si="55"/>
        <v>1</v>
      </c>
      <c r="F847" t="s">
        <v>1703</v>
      </c>
      <c r="G847" t="s">
        <v>1704</v>
      </c>
      <c r="H847">
        <v>2022</v>
      </c>
      <c r="I847" t="str">
        <f t="shared" si="58"/>
        <v>Bodegas Juan Gil Blue Label2022</v>
      </c>
      <c r="J847">
        <f t="shared" si="56"/>
        <v>1</v>
      </c>
    </row>
    <row r="848" spans="1:10">
      <c r="A848" t="s">
        <v>1705</v>
      </c>
      <c r="B848" t="s">
        <v>1706</v>
      </c>
      <c r="C848" t="s">
        <v>289</v>
      </c>
      <c r="D848" t="str">
        <f t="shared" si="57"/>
        <v>Bodegas Trenza 'Mont Clou' Chardonnay Sur Lie2023</v>
      </c>
      <c r="E848">
        <f t="shared" si="55"/>
        <v>1</v>
      </c>
      <c r="F848" t="s">
        <v>1705</v>
      </c>
      <c r="G848" t="s">
        <v>1706</v>
      </c>
      <c r="H848">
        <v>2023</v>
      </c>
      <c r="I848" t="str">
        <f t="shared" si="58"/>
        <v>Bodegas Trenza 'Mont Clou' Chardonnay Sur Lie2023</v>
      </c>
      <c r="J848">
        <f t="shared" si="56"/>
        <v>1</v>
      </c>
    </row>
    <row r="849" spans="1:10">
      <c r="A849" t="s">
        <v>1707</v>
      </c>
      <c r="B849" t="s">
        <v>1708</v>
      </c>
      <c r="C849" t="s">
        <v>144</v>
      </c>
      <c r="D849" t="str">
        <f t="shared" si="57"/>
        <v>Bohigas Semi Seco ReservaNV</v>
      </c>
      <c r="E849">
        <f t="shared" si="55"/>
        <v>1</v>
      </c>
      <c r="F849" t="s">
        <v>1707</v>
      </c>
      <c r="G849" t="s">
        <v>1708</v>
      </c>
      <c r="H849" t="s">
        <v>144</v>
      </c>
      <c r="I849" t="str">
        <f t="shared" si="58"/>
        <v>Bohigas Semi Seco ReservaNV</v>
      </c>
      <c r="J849">
        <f t="shared" si="56"/>
        <v>1</v>
      </c>
    </row>
    <row r="850" spans="1:10">
      <c r="A850" t="s">
        <v>1709</v>
      </c>
      <c r="B850" t="s">
        <v>1710</v>
      </c>
      <c r="C850" t="s">
        <v>144</v>
      </c>
      <c r="D850" t="str">
        <f t="shared" si="57"/>
        <v>Bohigas Brut ReservaNV</v>
      </c>
      <c r="E850">
        <f t="shared" si="55"/>
        <v>1</v>
      </c>
      <c r="F850" t="s">
        <v>1709</v>
      </c>
      <c r="G850" t="s">
        <v>1710</v>
      </c>
      <c r="H850" t="s">
        <v>144</v>
      </c>
      <c r="I850" t="str">
        <f t="shared" si="58"/>
        <v>Bohigas Brut ReservaNV</v>
      </c>
      <c r="J850">
        <f t="shared" si="56"/>
        <v>1</v>
      </c>
    </row>
    <row r="851" spans="1:10">
      <c r="A851" t="s">
        <v>1711</v>
      </c>
      <c r="B851" t="s">
        <v>1712</v>
      </c>
      <c r="C851" t="s">
        <v>144</v>
      </c>
      <c r="D851" t="str">
        <f t="shared" si="57"/>
        <v>Bohigas Brut Nature Gran ReservaNV</v>
      </c>
      <c r="E851">
        <f t="shared" si="55"/>
        <v>1</v>
      </c>
      <c r="F851" t="s">
        <v>1711</v>
      </c>
      <c r="G851" t="s">
        <v>1712</v>
      </c>
      <c r="H851" t="s">
        <v>144</v>
      </c>
      <c r="I851" t="str">
        <f t="shared" si="58"/>
        <v>Bohigas Brut Nature Gran ReservaNV</v>
      </c>
      <c r="J851">
        <f t="shared" si="56"/>
        <v>1</v>
      </c>
    </row>
    <row r="852" spans="1:10">
      <c r="A852" t="s">
        <v>1713</v>
      </c>
      <c r="B852" t="s">
        <v>1714</v>
      </c>
      <c r="C852" t="s">
        <v>144</v>
      </c>
      <c r="D852" t="str">
        <f t="shared" si="57"/>
        <v>Bohigas Extra Brut Gran ReservaNV</v>
      </c>
      <c r="E852">
        <f t="shared" si="55"/>
        <v>1</v>
      </c>
      <c r="F852" t="s">
        <v>1713</v>
      </c>
      <c r="G852" t="s">
        <v>1714</v>
      </c>
      <c r="H852" t="s">
        <v>144</v>
      </c>
      <c r="I852" t="str">
        <f t="shared" si="58"/>
        <v>Bohigas Extra Brut Gran ReservaNV</v>
      </c>
      <c r="J852">
        <f t="shared" si="56"/>
        <v>1</v>
      </c>
    </row>
    <row r="853" spans="1:10">
      <c r="A853" t="s">
        <v>1715</v>
      </c>
      <c r="B853" t="s">
        <v>1716</v>
      </c>
      <c r="C853" t="s">
        <v>137</v>
      </c>
      <c r="D853" t="str">
        <f t="shared" si="57"/>
        <v>Bohigas 'NOA de Bohigas' Brut Nature Reserva Organic (Giftbox)2017</v>
      </c>
      <c r="E853">
        <f t="shared" si="55"/>
        <v>1</v>
      </c>
      <c r="F853" t="s">
        <v>1715</v>
      </c>
      <c r="G853" t="s">
        <v>1716</v>
      </c>
      <c r="H853">
        <v>2017</v>
      </c>
      <c r="I853" t="str">
        <f t="shared" si="58"/>
        <v>Bohigas 'NOA de Bohigas' Brut Nature Reserva Organic (Giftbox)2017</v>
      </c>
      <c r="J853">
        <f t="shared" si="56"/>
        <v>1</v>
      </c>
    </row>
    <row r="854" spans="1:10">
      <c r="A854" t="s">
        <v>1717</v>
      </c>
      <c r="B854" t="s">
        <v>1718</v>
      </c>
      <c r="C854" t="s">
        <v>144</v>
      </c>
      <c r="D854" t="str">
        <f t="shared" si="57"/>
        <v>Bohigas Brut Reserva Special EditionNV</v>
      </c>
      <c r="E854">
        <f t="shared" si="55"/>
        <v>1</v>
      </c>
      <c r="F854" t="s">
        <v>1717</v>
      </c>
      <c r="G854" t="s">
        <v>1718</v>
      </c>
      <c r="H854" t="s">
        <v>144</v>
      </c>
      <c r="I854" t="str">
        <f t="shared" si="58"/>
        <v>Bohigas Brut Reserva Special EditionNV</v>
      </c>
      <c r="J854">
        <f t="shared" si="56"/>
        <v>1</v>
      </c>
    </row>
    <row r="855" spans="1:10">
      <c r="A855" t="s">
        <v>1719</v>
      </c>
      <c r="B855" t="s">
        <v>1720</v>
      </c>
      <c r="C855" t="s">
        <v>56</v>
      </c>
      <c r="D855" t="str">
        <f t="shared" si="57"/>
        <v>Paco Mulero Garnacha2021</v>
      </c>
      <c r="E855">
        <f t="shared" si="55"/>
        <v>1</v>
      </c>
      <c r="F855" t="s">
        <v>1719</v>
      </c>
      <c r="G855" t="s">
        <v>1720</v>
      </c>
      <c r="H855">
        <v>2021</v>
      </c>
      <c r="I855" t="str">
        <f t="shared" si="58"/>
        <v>Paco Mulero Garnacha2021</v>
      </c>
      <c r="J855">
        <f t="shared" si="56"/>
        <v>1</v>
      </c>
    </row>
    <row r="856" spans="1:10">
      <c r="A856" t="s">
        <v>1721</v>
      </c>
      <c r="B856" t="s">
        <v>1722</v>
      </c>
      <c r="C856" t="s">
        <v>289</v>
      </c>
      <c r="D856" t="str">
        <f t="shared" si="57"/>
        <v>Paco Mulero Albarino2023</v>
      </c>
      <c r="E856">
        <f t="shared" si="55"/>
        <v>1</v>
      </c>
      <c r="F856" t="s">
        <v>1721</v>
      </c>
      <c r="G856" t="s">
        <v>1722</v>
      </c>
      <c r="H856">
        <v>2023</v>
      </c>
      <c r="I856" t="str">
        <f t="shared" si="58"/>
        <v>Paco Mulero Albarino2023</v>
      </c>
      <c r="J856">
        <f t="shared" si="56"/>
        <v>1</v>
      </c>
    </row>
    <row r="857" spans="1:10">
      <c r="A857" t="s">
        <v>1723</v>
      </c>
      <c r="B857" t="s">
        <v>1724</v>
      </c>
      <c r="C857" t="s">
        <v>137</v>
      </c>
      <c r="D857" t="str">
        <f t="shared" si="57"/>
        <v>Surh Cellars 'Mosaique' Napa Valley Bordeaux Blend 2017</v>
      </c>
      <c r="E857">
        <f t="shared" si="55"/>
        <v>1</v>
      </c>
      <c r="F857" t="s">
        <v>1723</v>
      </c>
      <c r="G857" t="s">
        <v>1724</v>
      </c>
      <c r="H857">
        <v>2017</v>
      </c>
      <c r="I857" t="str">
        <f t="shared" si="58"/>
        <v>Surh Cellars 'Mosaique' Napa Valley Bordeaux Blend 2017</v>
      </c>
      <c r="J857">
        <f t="shared" si="56"/>
        <v>1</v>
      </c>
    </row>
    <row r="858" spans="1:10">
      <c r="A858" t="s">
        <v>1725</v>
      </c>
      <c r="B858" t="s">
        <v>1726</v>
      </c>
      <c r="C858" t="s">
        <v>118</v>
      </c>
      <c r="D858" t="str">
        <f t="shared" si="57"/>
        <v>Surh Cellars 'Umino Vineyard' Russian River Valley Pinot Noir2018</v>
      </c>
      <c r="E858">
        <f t="shared" si="55"/>
        <v>1</v>
      </c>
      <c r="F858" t="s">
        <v>1725</v>
      </c>
      <c r="G858" t="s">
        <v>1726</v>
      </c>
      <c r="H858">
        <v>2018</v>
      </c>
      <c r="I858" t="str">
        <f t="shared" si="58"/>
        <v>Surh Cellars 'Umino Vineyard' Russian River Valley Pinot Noir2018</v>
      </c>
      <c r="J858">
        <f t="shared" si="56"/>
        <v>1</v>
      </c>
    </row>
    <row r="859" spans="1:10">
      <c r="A859" t="s">
        <v>1727</v>
      </c>
      <c r="B859" t="s">
        <v>1728</v>
      </c>
      <c r="C859" t="s">
        <v>56</v>
      </c>
      <c r="D859" t="str">
        <f t="shared" si="57"/>
        <v>Surh Cellars Sonoma Coast Pinot Noir2021</v>
      </c>
      <c r="E859">
        <f t="shared" si="55"/>
        <v>1</v>
      </c>
      <c r="F859" t="s">
        <v>1727</v>
      </c>
      <c r="G859" t="s">
        <v>1728</v>
      </c>
      <c r="H859">
        <v>2021</v>
      </c>
      <c r="I859" t="str">
        <f t="shared" si="58"/>
        <v>Surh Cellars Sonoma Coast Pinot Noir2021</v>
      </c>
      <c r="J859">
        <f t="shared" si="56"/>
        <v>1</v>
      </c>
    </row>
    <row r="860" spans="1:10">
      <c r="A860" t="s">
        <v>1729</v>
      </c>
      <c r="B860" t="s">
        <v>1730</v>
      </c>
      <c r="C860" t="s">
        <v>30</v>
      </c>
      <c r="D860" t="str">
        <f t="shared" si="57"/>
        <v>Surh Cellars 'Heritage' Sonoma Coast Pinot Noir2022</v>
      </c>
      <c r="E860">
        <f t="shared" si="55"/>
        <v>1</v>
      </c>
      <c r="F860" t="s">
        <v>1729</v>
      </c>
      <c r="G860" t="s">
        <v>1730</v>
      </c>
      <c r="H860">
        <v>2022</v>
      </c>
      <c r="I860" t="str">
        <f t="shared" si="58"/>
        <v>Surh Cellars 'Heritage' Sonoma Coast Pinot Noir2022</v>
      </c>
      <c r="J860">
        <f t="shared" si="56"/>
        <v>1</v>
      </c>
    </row>
    <row r="861" spans="1:10">
      <c r="A861" t="s">
        <v>1731</v>
      </c>
      <c r="B861" t="s">
        <v>1732</v>
      </c>
      <c r="C861" t="s">
        <v>81</v>
      </c>
      <c r="D861" t="str">
        <f t="shared" si="57"/>
        <v>Surh Cellars 'Thornton Vineyard' Sonoma Coast Pinot Noir2019</v>
      </c>
      <c r="E861">
        <f t="shared" si="55"/>
        <v>1</v>
      </c>
      <c r="F861" t="s">
        <v>1731</v>
      </c>
      <c r="G861" t="s">
        <v>1732</v>
      </c>
      <c r="H861">
        <v>2019</v>
      </c>
      <c r="I861" t="str">
        <f t="shared" si="58"/>
        <v>Surh Cellars 'Thornton Vineyard' Sonoma Coast Pinot Noir2019</v>
      </c>
      <c r="J861">
        <f t="shared" si="56"/>
        <v>1</v>
      </c>
    </row>
    <row r="862" spans="1:10">
      <c r="A862" t="s">
        <v>1733</v>
      </c>
      <c r="B862" t="s">
        <v>1734</v>
      </c>
      <c r="C862" t="s">
        <v>137</v>
      </c>
      <c r="D862" t="str">
        <f t="shared" si="57"/>
        <v>Surh Cellars Napa Valley Cabernet Sauvignon2017</v>
      </c>
      <c r="E862">
        <f t="shared" si="55"/>
        <v>1</v>
      </c>
      <c r="F862" t="s">
        <v>1733</v>
      </c>
      <c r="G862" t="s">
        <v>1734</v>
      </c>
      <c r="H862">
        <v>2017</v>
      </c>
      <c r="I862" t="str">
        <f t="shared" si="58"/>
        <v>Surh Cellars Napa Valley Cabernet Sauvignon2017</v>
      </c>
      <c r="J862">
        <f t="shared" si="56"/>
        <v>1</v>
      </c>
    </row>
    <row r="863" spans="1:10">
      <c r="A863" t="s">
        <v>1735</v>
      </c>
      <c r="B863" t="s">
        <v>1736</v>
      </c>
      <c r="C863" t="s">
        <v>30</v>
      </c>
      <c r="D863" t="str">
        <f t="shared" si="57"/>
        <v>Surh Cellars Sonoma Coast Chardonnay2022</v>
      </c>
      <c r="E863">
        <f t="shared" si="55"/>
        <v>1</v>
      </c>
      <c r="F863" t="s">
        <v>1735</v>
      </c>
      <c r="G863" t="s">
        <v>1736</v>
      </c>
      <c r="H863">
        <v>2022</v>
      </c>
      <c r="I863" t="str">
        <f t="shared" si="58"/>
        <v>Surh Cellars Sonoma Coast Chardonnay2022</v>
      </c>
      <c r="J863">
        <f t="shared" si="56"/>
        <v>1</v>
      </c>
    </row>
    <row r="864" spans="1:10">
      <c r="A864" t="s">
        <v>1737</v>
      </c>
      <c r="B864" t="s">
        <v>1738</v>
      </c>
      <c r="C864" t="s">
        <v>144</v>
      </c>
      <c r="D864" t="str">
        <f t="shared" si="57"/>
        <v>Shangri-la Altiwine 1800 Cabernet SauvignonNV</v>
      </c>
      <c r="E864">
        <f t="shared" si="55"/>
        <v>1</v>
      </c>
      <c r="F864" t="s">
        <v>1737</v>
      </c>
      <c r="G864" t="s">
        <v>1738</v>
      </c>
      <c r="H864" t="s">
        <v>144</v>
      </c>
      <c r="I864" t="str">
        <f t="shared" si="58"/>
        <v>Shangri-la Altiwine 1800 Cabernet SauvignonNV</v>
      </c>
      <c r="J864">
        <f t="shared" si="56"/>
        <v>1</v>
      </c>
    </row>
    <row r="865" spans="1:10">
      <c r="A865" t="s">
        <v>1739</v>
      </c>
      <c r="B865" t="s">
        <v>1740</v>
      </c>
      <c r="C865" t="s">
        <v>144</v>
      </c>
      <c r="D865" t="str">
        <f t="shared" si="57"/>
        <v>Shangri-la Altiwine 1800 ChardonnayNV</v>
      </c>
      <c r="E865">
        <f t="shared" si="55"/>
        <v>1</v>
      </c>
      <c r="F865" t="s">
        <v>1739</v>
      </c>
      <c r="G865" t="s">
        <v>1740</v>
      </c>
      <c r="H865" t="s">
        <v>144</v>
      </c>
      <c r="I865" t="str">
        <f t="shared" si="58"/>
        <v>Shangri-la Altiwine 1800 ChardonnayNV</v>
      </c>
      <c r="J865">
        <f t="shared" si="56"/>
        <v>1</v>
      </c>
    </row>
    <row r="866" spans="1:10">
      <c r="A866" t="s">
        <v>1741</v>
      </c>
      <c r="B866" t="s">
        <v>1742</v>
      </c>
      <c r="C866" t="s">
        <v>118</v>
      </c>
      <c r="D866" t="str">
        <f t="shared" si="57"/>
        <v>Shangri-la Altiwine 2600 Shiraz2018</v>
      </c>
      <c r="E866">
        <f t="shared" si="55"/>
        <v>1</v>
      </c>
      <c r="F866" t="s">
        <v>1741</v>
      </c>
      <c r="G866" t="s">
        <v>1742</v>
      </c>
      <c r="H866">
        <v>2018</v>
      </c>
      <c r="I866" t="str">
        <f t="shared" si="58"/>
        <v>Shangri-la Altiwine 2600 Shiraz2018</v>
      </c>
      <c r="J866">
        <f t="shared" si="56"/>
        <v>1</v>
      </c>
    </row>
    <row r="867" spans="1:10">
      <c r="A867" t="s">
        <v>1743</v>
      </c>
      <c r="B867" t="s">
        <v>1744</v>
      </c>
      <c r="C867" t="s">
        <v>118</v>
      </c>
      <c r="D867" t="str">
        <f t="shared" si="57"/>
        <v>Shangri-la Altiwine 2600 Merlot2018</v>
      </c>
      <c r="E867">
        <f t="shared" si="55"/>
        <v>1</v>
      </c>
      <c r="F867" t="s">
        <v>1743</v>
      </c>
      <c r="G867" t="s">
        <v>1744</v>
      </c>
      <c r="H867">
        <v>2018</v>
      </c>
      <c r="I867" t="str">
        <f t="shared" si="58"/>
        <v>Shangri-la Altiwine 2600 Merlot2018</v>
      </c>
      <c r="J867">
        <f t="shared" si="56"/>
        <v>1</v>
      </c>
    </row>
    <row r="868" spans="1:10">
      <c r="A868" t="s">
        <v>1745</v>
      </c>
      <c r="B868" t="s">
        <v>1746</v>
      </c>
      <c r="C868" t="s">
        <v>30</v>
      </c>
      <c r="D868" t="str">
        <f t="shared" si="57"/>
        <v>Shangri-la Altiwine 2600 Chardonnay2022</v>
      </c>
      <c r="E868">
        <f t="shared" si="55"/>
        <v>1</v>
      </c>
      <c r="F868" t="s">
        <v>1745</v>
      </c>
      <c r="G868" t="s">
        <v>1746</v>
      </c>
      <c r="H868">
        <v>2022</v>
      </c>
      <c r="I868" t="str">
        <f t="shared" si="58"/>
        <v>Shangri-la Altiwine 2600 Chardonnay2022</v>
      </c>
      <c r="J868">
        <f t="shared" si="56"/>
        <v>1</v>
      </c>
    </row>
    <row r="869" spans="1:10">
      <c r="A869" t="s">
        <v>1747</v>
      </c>
      <c r="B869" t="s">
        <v>1748</v>
      </c>
      <c r="C869" t="s">
        <v>118</v>
      </c>
      <c r="D869" t="str">
        <f t="shared" si="57"/>
        <v>Shangri-la Altiwine 2800 Cabernet Sauvignon2018</v>
      </c>
      <c r="E869">
        <f t="shared" si="55"/>
        <v>1</v>
      </c>
      <c r="F869" t="s">
        <v>1747</v>
      </c>
      <c r="G869" t="s">
        <v>1748</v>
      </c>
      <c r="H869">
        <v>2018</v>
      </c>
      <c r="I869" t="str">
        <f t="shared" si="58"/>
        <v>Shangri-la Altiwine 2800 Cabernet Sauvignon2018</v>
      </c>
      <c r="J869">
        <f t="shared" si="56"/>
        <v>1</v>
      </c>
    </row>
    <row r="870" spans="1:10">
      <c r="A870" t="s">
        <v>1749</v>
      </c>
      <c r="B870" t="s">
        <v>1750</v>
      </c>
      <c r="C870" t="s">
        <v>92</v>
      </c>
      <c r="D870" t="str">
        <f t="shared" si="57"/>
        <v>Shangri-la Sacred Land Legend Cabernet Sauvignon2020</v>
      </c>
      <c r="E870">
        <f t="shared" si="55"/>
        <v>1</v>
      </c>
      <c r="F870" t="s">
        <v>1749</v>
      </c>
      <c r="G870" t="s">
        <v>1750</v>
      </c>
      <c r="H870">
        <v>2020</v>
      </c>
      <c r="I870" t="str">
        <f t="shared" si="58"/>
        <v>Shangri-la Sacred Land Legend Cabernet Sauvignon2020</v>
      </c>
      <c r="J870">
        <f t="shared" si="56"/>
        <v>1</v>
      </c>
    </row>
    <row r="871" spans="1:10">
      <c r="A871" t="s">
        <v>1751</v>
      </c>
      <c r="B871" t="s">
        <v>1752</v>
      </c>
      <c r="C871" t="s">
        <v>30</v>
      </c>
      <c r="D871" t="str">
        <f t="shared" si="57"/>
        <v>Shangri-la Sacred Land Legend Chardonnay2022</v>
      </c>
      <c r="E871">
        <f t="shared" si="55"/>
        <v>1</v>
      </c>
      <c r="F871" t="s">
        <v>1751</v>
      </c>
      <c r="G871" t="s">
        <v>1752</v>
      </c>
      <c r="H871">
        <v>2022</v>
      </c>
      <c r="I871" t="str">
        <f t="shared" si="58"/>
        <v>Shangri-la Sacred Land Legend Chardonnay2022</v>
      </c>
      <c r="J871">
        <f t="shared" si="56"/>
        <v>1</v>
      </c>
    </row>
    <row r="872" spans="1:10">
      <c r="A872" t="s">
        <v>1753</v>
      </c>
      <c r="B872" t="s">
        <v>1754</v>
      </c>
      <c r="C872" t="s">
        <v>81</v>
      </c>
      <c r="D872" t="str">
        <f t="shared" si="57"/>
        <v>Shangri-la Sacred Land Dry Red Cabernet Sauvignon2019</v>
      </c>
      <c r="E872">
        <f t="shared" si="55"/>
        <v>1</v>
      </c>
      <c r="F872" t="s">
        <v>1753</v>
      </c>
      <c r="G872" t="s">
        <v>1754</v>
      </c>
      <c r="H872">
        <v>2019</v>
      </c>
      <c r="I872" t="str">
        <f t="shared" si="58"/>
        <v>Shangri-la Sacred Land Dry Red Cabernet Sauvignon2019</v>
      </c>
      <c r="J872">
        <f t="shared" si="56"/>
        <v>1</v>
      </c>
    </row>
    <row r="873" spans="1:10">
      <c r="A873" t="s">
        <v>1755</v>
      </c>
      <c r="B873" t="s">
        <v>1756</v>
      </c>
      <c r="C873" t="s">
        <v>92</v>
      </c>
      <c r="D873" t="str">
        <f t="shared" si="57"/>
        <v>Shangri-la Sacred Land Rongzhong Village2020</v>
      </c>
      <c r="E873">
        <f t="shared" si="55"/>
        <v>1</v>
      </c>
      <c r="F873" t="s">
        <v>1755</v>
      </c>
      <c r="G873" t="s">
        <v>1756</v>
      </c>
      <c r="H873">
        <v>2020</v>
      </c>
      <c r="I873" t="str">
        <f t="shared" si="58"/>
        <v>Shangri-la Sacred Land Rongzhong Village2020</v>
      </c>
      <c r="J873">
        <f t="shared" si="56"/>
        <v>1</v>
      </c>
    </row>
    <row r="874" spans="1:10">
      <c r="A874" t="s">
        <v>1757</v>
      </c>
      <c r="B874" t="s">
        <v>1758</v>
      </c>
      <c r="C874" t="s">
        <v>144</v>
      </c>
      <c r="D874" t="str">
        <f t="shared" si="57"/>
        <v>Shangri-la Vidal Noble Rot WineNV</v>
      </c>
      <c r="E874">
        <f t="shared" si="55"/>
        <v>1</v>
      </c>
      <c r="F874" t="s">
        <v>1757</v>
      </c>
      <c r="G874" t="s">
        <v>1758</v>
      </c>
      <c r="H874" t="s">
        <v>144</v>
      </c>
      <c r="I874" t="str">
        <f t="shared" si="58"/>
        <v>Shangri-la Vidal Noble Rot WineNV</v>
      </c>
      <c r="J874">
        <f t="shared" si="56"/>
        <v>1</v>
      </c>
    </row>
    <row r="875" spans="1:10">
      <c r="A875" t="s">
        <v>1759</v>
      </c>
      <c r="B875" t="s">
        <v>1760</v>
      </c>
      <c r="C875" t="s">
        <v>144</v>
      </c>
      <c r="D875" t="str">
        <f t="shared" si="57"/>
        <v>Roger Brun Grande Réserve BrutNV</v>
      </c>
      <c r="E875">
        <f t="shared" si="55"/>
        <v>1</v>
      </c>
      <c r="F875" t="s">
        <v>1759</v>
      </c>
      <c r="G875" t="s">
        <v>1760</v>
      </c>
      <c r="H875" t="s">
        <v>144</v>
      </c>
      <c r="I875" t="str">
        <f t="shared" si="58"/>
        <v>Roger Brun Grande Réserve BrutNV</v>
      </c>
      <c r="J875">
        <f t="shared" si="56"/>
        <v>1</v>
      </c>
    </row>
    <row r="876" spans="1:10">
      <c r="A876" t="s">
        <v>1761</v>
      </c>
      <c r="B876" t="s">
        <v>1762</v>
      </c>
      <c r="C876" t="s">
        <v>144</v>
      </c>
      <c r="D876" t="str">
        <f t="shared" si="57"/>
        <v>Roger Brun Blanc de Blancs Brut Premier CruNV</v>
      </c>
      <c r="E876">
        <f t="shared" si="55"/>
        <v>1</v>
      </c>
      <c r="F876" t="s">
        <v>1761</v>
      </c>
      <c r="G876" t="s">
        <v>1762</v>
      </c>
      <c r="H876" t="s">
        <v>144</v>
      </c>
      <c r="I876" t="str">
        <f t="shared" si="58"/>
        <v>Roger Brun Blanc de Blancs Brut Premier CruNV</v>
      </c>
      <c r="J876">
        <f t="shared" si="56"/>
        <v>1</v>
      </c>
    </row>
    <row r="877" spans="1:10">
      <c r="A877" t="s">
        <v>1763</v>
      </c>
      <c r="B877" t="s">
        <v>1764</v>
      </c>
      <c r="C877" t="s">
        <v>144</v>
      </c>
      <c r="D877" t="str">
        <f t="shared" si="57"/>
        <v>Roger Brun Cuvée Grand Cru Réserve BrutNV</v>
      </c>
      <c r="E877">
        <f t="shared" si="55"/>
        <v>1</v>
      </c>
      <c r="F877" t="s">
        <v>1763</v>
      </c>
      <c r="G877" t="s">
        <v>1764</v>
      </c>
      <c r="H877" t="s">
        <v>144</v>
      </c>
      <c r="I877" t="str">
        <f t="shared" si="58"/>
        <v>Roger Brun Cuvée Grand Cru Réserve BrutNV</v>
      </c>
      <c r="J877">
        <f t="shared" si="56"/>
        <v>1</v>
      </c>
    </row>
    <row r="878" spans="1:10">
      <c r="A878" t="s">
        <v>1765</v>
      </c>
      <c r="B878" t="s">
        <v>1766</v>
      </c>
      <c r="C878" t="s">
        <v>129</v>
      </c>
      <c r="D878" t="str">
        <f t="shared" si="57"/>
        <v>Roger Brun Cuvée des Sires2016</v>
      </c>
      <c r="E878">
        <f t="shared" si="55"/>
        <v>1</v>
      </c>
      <c r="F878" t="s">
        <v>1765</v>
      </c>
      <c r="G878" t="s">
        <v>1766</v>
      </c>
      <c r="H878">
        <v>2016</v>
      </c>
      <c r="I878" t="str">
        <f t="shared" si="58"/>
        <v>Roger Brun Cuvée des Sires2016</v>
      </c>
      <c r="J878">
        <f t="shared" si="56"/>
        <v>1</v>
      </c>
    </row>
    <row r="879" spans="1:10">
      <c r="A879" t="s">
        <v>1767</v>
      </c>
      <c r="B879" t="s">
        <v>1768</v>
      </c>
      <c r="C879" t="s">
        <v>172</v>
      </c>
      <c r="D879" t="str">
        <f t="shared" si="57"/>
        <v>Roger Brun Réserve Familiale Grand Cru2012</v>
      </c>
      <c r="E879">
        <f t="shared" si="55"/>
        <v>1</v>
      </c>
      <c r="F879" t="s">
        <v>1767</v>
      </c>
      <c r="G879" t="s">
        <v>1768</v>
      </c>
      <c r="H879">
        <v>2012</v>
      </c>
      <c r="I879" t="str">
        <f t="shared" si="58"/>
        <v>Roger Brun Réserve Familiale Grand Cru2012</v>
      </c>
      <c r="J879">
        <f t="shared" si="56"/>
        <v>1</v>
      </c>
    </row>
    <row r="880" spans="1:10">
      <c r="A880" t="s">
        <v>1769</v>
      </c>
      <c r="B880" t="s">
        <v>1760</v>
      </c>
      <c r="C880" t="s">
        <v>144</v>
      </c>
      <c r="D880" t="str">
        <f t="shared" si="57"/>
        <v>Roger Brun Grande Réserve BrutNV</v>
      </c>
      <c r="E880">
        <f t="shared" si="55"/>
        <v>1</v>
      </c>
      <c r="F880" t="s">
        <v>1769</v>
      </c>
      <c r="G880" t="s">
        <v>1760</v>
      </c>
      <c r="H880" t="s">
        <v>144</v>
      </c>
      <c r="I880" t="str">
        <f t="shared" si="58"/>
        <v>Roger Brun Grande Réserve BrutNV</v>
      </c>
      <c r="J880">
        <f t="shared" si="56"/>
        <v>1</v>
      </c>
    </row>
    <row r="881" spans="1:10">
      <c r="A881" t="s">
        <v>1770</v>
      </c>
      <c r="B881" t="s">
        <v>1760</v>
      </c>
      <c r="C881" t="s">
        <v>144</v>
      </c>
      <c r="D881" t="str">
        <f t="shared" si="57"/>
        <v>Roger Brun Grande Réserve BrutNV</v>
      </c>
      <c r="E881">
        <f t="shared" si="55"/>
        <v>1</v>
      </c>
      <c r="F881" t="s">
        <v>1770</v>
      </c>
      <c r="G881" t="s">
        <v>1760</v>
      </c>
      <c r="H881" t="s">
        <v>144</v>
      </c>
      <c r="I881" t="str">
        <f t="shared" si="58"/>
        <v>Roger Brun Grande Réserve BrutNV</v>
      </c>
      <c r="J881">
        <f t="shared" si="56"/>
        <v>1</v>
      </c>
    </row>
    <row r="882" spans="1:10">
      <c r="A882" t="s">
        <v>1771</v>
      </c>
      <c r="B882" t="s">
        <v>1772</v>
      </c>
      <c r="C882" t="s">
        <v>118</v>
      </c>
      <c r="D882" t="str">
        <f t="shared" si="57"/>
        <v>Tikveš Special Selection Vranec2018</v>
      </c>
      <c r="E882">
        <f t="shared" si="55"/>
        <v>1</v>
      </c>
      <c r="F882" t="s">
        <v>1771</v>
      </c>
      <c r="G882" t="s">
        <v>1772</v>
      </c>
      <c r="H882">
        <v>2018</v>
      </c>
      <c r="I882" t="str">
        <f t="shared" si="58"/>
        <v>Tikveš Special Selection Vranec2018</v>
      </c>
      <c r="J882">
        <f t="shared" si="56"/>
        <v>1</v>
      </c>
    </row>
    <row r="883" spans="1:10">
      <c r="A883" t="s">
        <v>1773</v>
      </c>
      <c r="B883" t="s">
        <v>1774</v>
      </c>
      <c r="C883" t="s">
        <v>81</v>
      </c>
      <c r="D883" t="str">
        <f t="shared" si="57"/>
        <v>Tikveš Alexandria Cuvée Red2019</v>
      </c>
      <c r="E883">
        <f t="shared" si="55"/>
        <v>1</v>
      </c>
      <c r="F883" t="s">
        <v>1773</v>
      </c>
      <c r="G883" t="s">
        <v>1774</v>
      </c>
      <c r="H883">
        <v>2019</v>
      </c>
      <c r="I883" t="str">
        <f t="shared" si="58"/>
        <v>Tikveš Alexandria Cuvée Red2019</v>
      </c>
      <c r="J883">
        <f t="shared" si="56"/>
        <v>1</v>
      </c>
    </row>
    <row r="884" spans="1:10">
      <c r="A884" t="s">
        <v>1775</v>
      </c>
      <c r="B884" t="s">
        <v>1776</v>
      </c>
      <c r="C884" t="s">
        <v>81</v>
      </c>
      <c r="D884" t="str">
        <f t="shared" si="57"/>
        <v>Tikveš Barovo Red2019</v>
      </c>
      <c r="E884">
        <f t="shared" si="55"/>
        <v>1</v>
      </c>
      <c r="F884" t="s">
        <v>1775</v>
      </c>
      <c r="G884" t="s">
        <v>1776</v>
      </c>
      <c r="H884">
        <v>2019</v>
      </c>
      <c r="I884" t="str">
        <f t="shared" si="58"/>
        <v>Tikveš Barovo Red2019</v>
      </c>
      <c r="J884">
        <f t="shared" si="56"/>
        <v>1</v>
      </c>
    </row>
    <row r="885" spans="1:10">
      <c r="A885" t="s">
        <v>1777</v>
      </c>
      <c r="B885" t="s">
        <v>1778</v>
      </c>
      <c r="C885" t="s">
        <v>118</v>
      </c>
      <c r="D885" t="str">
        <f t="shared" si="57"/>
        <v>Tikveš Lepovo Pinot Noir2018</v>
      </c>
      <c r="E885">
        <f t="shared" si="55"/>
        <v>1</v>
      </c>
      <c r="F885" t="s">
        <v>1777</v>
      </c>
      <c r="G885" t="s">
        <v>1778</v>
      </c>
      <c r="H885">
        <v>2018</v>
      </c>
      <c r="I885" t="str">
        <f t="shared" si="58"/>
        <v>Tikveš Lepovo Pinot Noir2018</v>
      </c>
      <c r="J885">
        <f t="shared" si="56"/>
        <v>1</v>
      </c>
    </row>
    <row r="886" spans="1:10">
      <c r="A886" t="s">
        <v>1779</v>
      </c>
      <c r="B886" t="s">
        <v>1780</v>
      </c>
      <c r="C886" t="s">
        <v>118</v>
      </c>
      <c r="D886" t="str">
        <f t="shared" si="57"/>
        <v>Tikveš Bela Voda Red2018</v>
      </c>
      <c r="E886">
        <f t="shared" si="55"/>
        <v>1</v>
      </c>
      <c r="F886" t="s">
        <v>1779</v>
      </c>
      <c r="G886" t="s">
        <v>1780</v>
      </c>
      <c r="H886">
        <v>2018</v>
      </c>
      <c r="I886" t="str">
        <f t="shared" si="58"/>
        <v>Tikveš Bela Voda Red2018</v>
      </c>
      <c r="J886">
        <f t="shared" si="56"/>
        <v>1</v>
      </c>
    </row>
    <row r="887" spans="1:10">
      <c r="A887" t="s">
        <v>1781</v>
      </c>
      <c r="B887" t="s">
        <v>1782</v>
      </c>
      <c r="C887" t="s">
        <v>129</v>
      </c>
      <c r="D887" t="str">
        <f t="shared" si="57"/>
        <v>Tikveš Grand Cuvee Lepovo2016</v>
      </c>
      <c r="E887">
        <f t="shared" si="55"/>
        <v>1</v>
      </c>
      <c r="F887" t="s">
        <v>1781</v>
      </c>
      <c r="G887" t="s">
        <v>1782</v>
      </c>
      <c r="H887">
        <v>2016</v>
      </c>
      <c r="I887" t="str">
        <f t="shared" si="58"/>
        <v>Tikveš Grand Cuvee Lepovo2016</v>
      </c>
      <c r="J887">
        <f t="shared" si="56"/>
        <v>1</v>
      </c>
    </row>
    <row r="888" spans="1:10">
      <c r="A888" t="s">
        <v>1783</v>
      </c>
      <c r="B888" t="s">
        <v>1784</v>
      </c>
      <c r="C888" t="s">
        <v>56</v>
      </c>
      <c r="D888" t="str">
        <f t="shared" si="57"/>
        <v>Tikveš Special Selection Temjanika2021</v>
      </c>
      <c r="E888">
        <f t="shared" si="55"/>
        <v>1</v>
      </c>
      <c r="F888" t="s">
        <v>1783</v>
      </c>
      <c r="G888" t="s">
        <v>1784</v>
      </c>
      <c r="H888">
        <v>2021</v>
      </c>
      <c r="I888" t="str">
        <f t="shared" si="58"/>
        <v>Tikveš Special Selection Temjanika2021</v>
      </c>
      <c r="J888">
        <f t="shared" si="56"/>
        <v>1</v>
      </c>
    </row>
    <row r="889" spans="1:10">
      <c r="A889" t="s">
        <v>1785</v>
      </c>
      <c r="B889" t="s">
        <v>1786</v>
      </c>
      <c r="C889" t="s">
        <v>56</v>
      </c>
      <c r="D889" t="str">
        <f t="shared" si="57"/>
        <v>Tikveš Alexandria Cuvee White2021</v>
      </c>
      <c r="E889">
        <f t="shared" si="55"/>
        <v>1</v>
      </c>
      <c r="F889" t="s">
        <v>1785</v>
      </c>
      <c r="G889" t="s">
        <v>1786</v>
      </c>
      <c r="H889">
        <v>2021</v>
      </c>
      <c r="I889" t="str">
        <f t="shared" si="58"/>
        <v>Tikveš Alexandria Cuvee White2021</v>
      </c>
      <c r="J889">
        <f t="shared" si="56"/>
        <v>1</v>
      </c>
    </row>
    <row r="890" spans="1:10">
      <c r="A890" t="s">
        <v>1787</v>
      </c>
      <c r="B890" t="s">
        <v>1788</v>
      </c>
      <c r="C890" t="s">
        <v>92</v>
      </c>
      <c r="D890" t="str">
        <f t="shared" si="57"/>
        <v>Tikveš Barovo White2020</v>
      </c>
      <c r="E890">
        <f t="shared" si="55"/>
        <v>1</v>
      </c>
      <c r="F890" t="s">
        <v>1787</v>
      </c>
      <c r="G890" t="s">
        <v>1788</v>
      </c>
      <c r="H890">
        <v>2020</v>
      </c>
      <c r="I890" t="str">
        <f t="shared" si="58"/>
        <v>Tikveš Barovo White2020</v>
      </c>
      <c r="J890">
        <f t="shared" si="56"/>
        <v>1</v>
      </c>
    </row>
    <row r="891" spans="1:10">
      <c r="A891" t="s">
        <v>1789</v>
      </c>
      <c r="B891" t="s">
        <v>1790</v>
      </c>
      <c r="C891" t="s">
        <v>144</v>
      </c>
      <c r="D891" t="str">
        <f t="shared" si="57"/>
        <v>Tribaut Schloesser 8 Terroirs Origine BrutNV</v>
      </c>
      <c r="E891">
        <f t="shared" si="55"/>
        <v>1</v>
      </c>
      <c r="F891" t="s">
        <v>1789</v>
      </c>
      <c r="G891" t="s">
        <v>1790</v>
      </c>
      <c r="H891" t="s">
        <v>144</v>
      </c>
      <c r="I891" t="str">
        <f t="shared" si="58"/>
        <v>Tribaut Schloesser 8 Terroirs Origine BrutNV</v>
      </c>
      <c r="J891">
        <f t="shared" si="56"/>
        <v>1</v>
      </c>
    </row>
    <row r="892" spans="1:10">
      <c r="A892" t="s">
        <v>1791</v>
      </c>
      <c r="B892" t="s">
        <v>1790</v>
      </c>
      <c r="C892" t="s">
        <v>144</v>
      </c>
      <c r="D892" t="str">
        <f t="shared" si="57"/>
        <v>Tribaut Schloesser 8 Terroirs Origine BrutNV</v>
      </c>
      <c r="E892">
        <f t="shared" si="55"/>
        <v>1</v>
      </c>
      <c r="F892" t="s">
        <v>1791</v>
      </c>
      <c r="G892" t="s">
        <v>1790</v>
      </c>
      <c r="H892" t="s">
        <v>144</v>
      </c>
      <c r="I892" t="str">
        <f t="shared" si="58"/>
        <v>Tribaut Schloesser 8 Terroirs Origine BrutNV</v>
      </c>
      <c r="J892">
        <f t="shared" si="56"/>
        <v>1</v>
      </c>
    </row>
    <row r="893" spans="1:10">
      <c r="A893" t="s">
        <v>1792</v>
      </c>
      <c r="B893" t="s">
        <v>1793</v>
      </c>
      <c r="C893" t="s">
        <v>144</v>
      </c>
      <c r="D893" t="str">
        <f t="shared" si="57"/>
        <v>Tribaut Schloesser Terroir Premier Cru Extra BrutNV</v>
      </c>
      <c r="E893">
        <f t="shared" si="55"/>
        <v>1</v>
      </c>
      <c r="F893" t="s">
        <v>1792</v>
      </c>
      <c r="G893" t="s">
        <v>1793</v>
      </c>
      <c r="H893" t="s">
        <v>144</v>
      </c>
      <c r="I893" t="str">
        <f t="shared" si="58"/>
        <v>Tribaut Schloesser Terroir Premier Cru Extra BrutNV</v>
      </c>
      <c r="J893">
        <f t="shared" si="56"/>
        <v>1</v>
      </c>
    </row>
    <row r="894" spans="1:10">
      <c r="A894" t="s">
        <v>1794</v>
      </c>
      <c r="B894" t="s">
        <v>1795</v>
      </c>
      <c r="C894" t="s">
        <v>144</v>
      </c>
      <c r="D894" t="str">
        <f t="shared" si="57"/>
        <v>Tribaut Schloesser 8 Terroirs Rosé BrutNV</v>
      </c>
      <c r="E894">
        <f t="shared" si="55"/>
        <v>1</v>
      </c>
      <c r="F894" t="s">
        <v>1794</v>
      </c>
      <c r="G894" t="s">
        <v>1795</v>
      </c>
      <c r="H894" t="s">
        <v>144</v>
      </c>
      <c r="I894" t="str">
        <f t="shared" si="58"/>
        <v>Tribaut Schloesser 8 Terroirs Rosé BrutNV</v>
      </c>
      <c r="J894">
        <f t="shared" si="56"/>
        <v>1</v>
      </c>
    </row>
    <row r="895" spans="1:10">
      <c r="A895" t="s">
        <v>1796</v>
      </c>
      <c r="B895" t="s">
        <v>1797</v>
      </c>
      <c r="C895" t="s">
        <v>144</v>
      </c>
      <c r="D895" t="str">
        <f t="shared" si="57"/>
        <v>Tribaut Schloesser Vallée du Brunet Blanc de Chardonnay Extra BrutNV</v>
      </c>
      <c r="E895">
        <f t="shared" si="55"/>
        <v>1</v>
      </c>
      <c r="F895" t="s">
        <v>1796</v>
      </c>
      <c r="G895" t="s">
        <v>1797</v>
      </c>
      <c r="H895" t="s">
        <v>144</v>
      </c>
      <c r="I895" t="str">
        <f t="shared" si="58"/>
        <v>Tribaut Schloesser Vallée du Brunet Blanc de Chardonnay Extra BrutNV</v>
      </c>
      <c r="J895">
        <f t="shared" si="56"/>
        <v>1</v>
      </c>
    </row>
    <row r="896" spans="1:10">
      <c r="A896" t="s">
        <v>1798</v>
      </c>
      <c r="B896" t="s">
        <v>1799</v>
      </c>
      <c r="C896" t="s">
        <v>144</v>
      </c>
      <c r="D896" t="str">
        <f t="shared" si="57"/>
        <v>Tribaut Schloesser Cuvée René Extra BrutNV</v>
      </c>
      <c r="E896">
        <f t="shared" si="55"/>
        <v>1</v>
      </c>
      <c r="F896" t="s">
        <v>1798</v>
      </c>
      <c r="G896" t="s">
        <v>1799</v>
      </c>
      <c r="H896" t="s">
        <v>144</v>
      </c>
      <c r="I896" t="str">
        <f t="shared" si="58"/>
        <v>Tribaut Schloesser Cuvée René Extra BrutNV</v>
      </c>
      <c r="J896">
        <f t="shared" si="56"/>
        <v>1</v>
      </c>
    </row>
    <row r="897" spans="1:10">
      <c r="A897" t="s">
        <v>1800</v>
      </c>
      <c r="B897" t="s">
        <v>1801</v>
      </c>
      <c r="C897" t="s">
        <v>139</v>
      </c>
      <c r="D897" t="str">
        <f t="shared" si="57"/>
        <v>Tribaut Schloesser Authentique Extra Brut2010</v>
      </c>
      <c r="E897">
        <f t="shared" si="55"/>
        <v>1</v>
      </c>
      <c r="F897" t="s">
        <v>1800</v>
      </c>
      <c r="G897" t="s">
        <v>1801</v>
      </c>
      <c r="H897">
        <v>2010</v>
      </c>
      <c r="I897" t="str">
        <f t="shared" si="58"/>
        <v>Tribaut Schloesser Authentique Extra Brut2010</v>
      </c>
      <c r="J897">
        <f t="shared" si="56"/>
        <v>1</v>
      </c>
    </row>
    <row r="898" spans="1:10">
      <c r="A898" t="s">
        <v>1802</v>
      </c>
      <c r="B898" t="s">
        <v>1803</v>
      </c>
      <c r="C898" t="s">
        <v>127</v>
      </c>
      <c r="D898" t="str">
        <f t="shared" si="57"/>
        <v>Tribaut Schloesser L'Authentique2009</v>
      </c>
      <c r="E898">
        <f t="shared" si="55"/>
        <v>1</v>
      </c>
      <c r="F898" t="s">
        <v>1802</v>
      </c>
      <c r="G898" t="s">
        <v>1803</v>
      </c>
      <c r="H898">
        <v>2009</v>
      </c>
      <c r="I898" t="str">
        <f t="shared" si="58"/>
        <v>Tribaut Schloesser L'Authentique2009</v>
      </c>
      <c r="J898">
        <f t="shared" si="56"/>
        <v>1</v>
      </c>
    </row>
    <row r="899" spans="1:10">
      <c r="A899" t="s">
        <v>1804</v>
      </c>
      <c r="B899" t="s">
        <v>1805</v>
      </c>
      <c r="C899" t="s">
        <v>144</v>
      </c>
      <c r="D899" t="str">
        <f t="shared" si="57"/>
        <v>Penfolds Champagne Cuvée BrutNV</v>
      </c>
      <c r="E899">
        <f t="shared" ref="E899:E962" si="59">IF(A899=F899,1,0)</f>
        <v>1</v>
      </c>
      <c r="F899" t="s">
        <v>1804</v>
      </c>
      <c r="G899" t="s">
        <v>1805</v>
      </c>
      <c r="H899" t="s">
        <v>144</v>
      </c>
      <c r="I899" t="str">
        <f t="shared" si="58"/>
        <v>Penfolds Champagne Cuvée BrutNV</v>
      </c>
      <c r="J899">
        <f t="shared" ref="J899:J962" si="60">IF(D899=I899,1,0)</f>
        <v>1</v>
      </c>
    </row>
    <row r="900" spans="1:10">
      <c r="A900" t="s">
        <v>1806</v>
      </c>
      <c r="B900" t="s">
        <v>1807</v>
      </c>
      <c r="C900" t="s">
        <v>144</v>
      </c>
      <c r="D900" t="str">
        <f t="shared" si="57"/>
        <v>Penfolds Reserve Bin A ChardonnayNV</v>
      </c>
      <c r="E900">
        <f t="shared" si="59"/>
        <v>1</v>
      </c>
      <c r="F900" t="s">
        <v>1806</v>
      </c>
      <c r="G900" t="s">
        <v>1807</v>
      </c>
      <c r="H900" t="s">
        <v>144</v>
      </c>
      <c r="I900" t="str">
        <f t="shared" si="58"/>
        <v>Penfolds Reserve Bin A ChardonnayNV</v>
      </c>
      <c r="J900">
        <f t="shared" si="60"/>
        <v>1</v>
      </c>
    </row>
    <row r="901" spans="1:10">
      <c r="A901" t="s">
        <v>1808</v>
      </c>
      <c r="B901" t="s">
        <v>1809</v>
      </c>
      <c r="C901" t="s">
        <v>144</v>
      </c>
      <c r="D901" t="str">
        <f t="shared" si="57"/>
        <v>Penfolds YattarnaNV</v>
      </c>
      <c r="E901">
        <f t="shared" si="59"/>
        <v>1</v>
      </c>
      <c r="F901" t="s">
        <v>1808</v>
      </c>
      <c r="G901" t="s">
        <v>1809</v>
      </c>
      <c r="H901" t="s">
        <v>144</v>
      </c>
      <c r="I901" t="str">
        <f t="shared" si="58"/>
        <v>Penfolds YattarnaNV</v>
      </c>
      <c r="J901">
        <f t="shared" si="60"/>
        <v>1</v>
      </c>
    </row>
    <row r="902" spans="1:10">
      <c r="A902" t="s">
        <v>1810</v>
      </c>
      <c r="B902" t="s">
        <v>1811</v>
      </c>
      <c r="C902" t="s">
        <v>144</v>
      </c>
      <c r="D902" t="str">
        <f t="shared" si="57"/>
        <v>Penfolds Bin 8 Cabernet ShirazNV</v>
      </c>
      <c r="E902">
        <f t="shared" si="59"/>
        <v>1</v>
      </c>
      <c r="F902" t="s">
        <v>1810</v>
      </c>
      <c r="G902" t="s">
        <v>1811</v>
      </c>
      <c r="H902" t="s">
        <v>144</v>
      </c>
      <c r="I902" t="str">
        <f t="shared" si="58"/>
        <v>Penfolds Bin 8 Cabernet ShirazNV</v>
      </c>
      <c r="J902">
        <f t="shared" si="60"/>
        <v>1</v>
      </c>
    </row>
    <row r="903" spans="1:10">
      <c r="A903" t="s">
        <v>1812</v>
      </c>
      <c r="B903" t="s">
        <v>1813</v>
      </c>
      <c r="C903" t="s">
        <v>144</v>
      </c>
      <c r="D903" t="str">
        <f t="shared" ref="D903:D966" si="61">B903&amp;C903</f>
        <v>Penfolds Bin 2 Shiraz MataroNV</v>
      </c>
      <c r="E903">
        <f t="shared" si="59"/>
        <v>1</v>
      </c>
      <c r="F903" t="s">
        <v>1812</v>
      </c>
      <c r="G903" t="s">
        <v>1813</v>
      </c>
      <c r="H903" t="s">
        <v>144</v>
      </c>
      <c r="I903" t="str">
        <f t="shared" ref="I903:I966" si="62">G903&amp;H903</f>
        <v>Penfolds Bin 2 Shiraz MataroNV</v>
      </c>
      <c r="J903">
        <f t="shared" si="60"/>
        <v>1</v>
      </c>
    </row>
    <row r="904" spans="1:10">
      <c r="A904" t="s">
        <v>1814</v>
      </c>
      <c r="B904" t="s">
        <v>1815</v>
      </c>
      <c r="C904" t="s">
        <v>144</v>
      </c>
      <c r="D904" t="str">
        <f t="shared" si="61"/>
        <v>Penfolds Bin 28 ShirazNV</v>
      </c>
      <c r="E904">
        <f t="shared" si="59"/>
        <v>1</v>
      </c>
      <c r="F904" t="s">
        <v>1814</v>
      </c>
      <c r="G904" t="s">
        <v>1815</v>
      </c>
      <c r="H904" t="s">
        <v>144</v>
      </c>
      <c r="I904" t="str">
        <f t="shared" si="62"/>
        <v>Penfolds Bin 28 ShirazNV</v>
      </c>
      <c r="J904">
        <f t="shared" si="60"/>
        <v>1</v>
      </c>
    </row>
    <row r="905" spans="1:10">
      <c r="A905" t="s">
        <v>1816</v>
      </c>
      <c r="B905" t="s">
        <v>1817</v>
      </c>
      <c r="C905" t="s">
        <v>144</v>
      </c>
      <c r="D905" t="str">
        <f t="shared" si="61"/>
        <v>Penfolds Bin 128 ShirazNV</v>
      </c>
      <c r="E905">
        <f t="shared" si="59"/>
        <v>1</v>
      </c>
      <c r="F905" t="s">
        <v>1816</v>
      </c>
      <c r="G905" t="s">
        <v>1817</v>
      </c>
      <c r="H905" t="s">
        <v>144</v>
      </c>
      <c r="I905" t="str">
        <f t="shared" si="62"/>
        <v>Penfolds Bin 128 ShirazNV</v>
      </c>
      <c r="J905">
        <f t="shared" si="60"/>
        <v>1</v>
      </c>
    </row>
    <row r="906" spans="1:10">
      <c r="A906" t="s">
        <v>1818</v>
      </c>
      <c r="B906" t="s">
        <v>1819</v>
      </c>
      <c r="C906" t="s">
        <v>144</v>
      </c>
      <c r="D906" t="str">
        <f t="shared" si="61"/>
        <v>Penfolds Bin 138 Barossa GSMNV</v>
      </c>
      <c r="E906">
        <f t="shared" si="59"/>
        <v>1</v>
      </c>
      <c r="F906" t="s">
        <v>1818</v>
      </c>
      <c r="G906" t="s">
        <v>1819</v>
      </c>
      <c r="H906" t="s">
        <v>144</v>
      </c>
      <c r="I906" t="str">
        <f t="shared" si="62"/>
        <v>Penfolds Bin 138 Barossa GSMNV</v>
      </c>
      <c r="J906">
        <f t="shared" si="60"/>
        <v>1</v>
      </c>
    </row>
    <row r="907" spans="1:10">
      <c r="A907" t="s">
        <v>1820</v>
      </c>
      <c r="B907" t="s">
        <v>1821</v>
      </c>
      <c r="C907" t="s">
        <v>144</v>
      </c>
      <c r="D907" t="str">
        <f t="shared" si="61"/>
        <v>Penfolds Bin 23 Pinot NoirNV</v>
      </c>
      <c r="E907">
        <f t="shared" si="59"/>
        <v>1</v>
      </c>
      <c r="F907" t="s">
        <v>1820</v>
      </c>
      <c r="G907" t="s">
        <v>1821</v>
      </c>
      <c r="H907" t="s">
        <v>144</v>
      </c>
      <c r="I907" t="str">
        <f t="shared" si="62"/>
        <v>Penfolds Bin 23 Pinot NoirNV</v>
      </c>
      <c r="J907">
        <f t="shared" si="60"/>
        <v>1</v>
      </c>
    </row>
    <row r="908" spans="1:10">
      <c r="A908" t="s">
        <v>1822</v>
      </c>
      <c r="B908" t="s">
        <v>1823</v>
      </c>
      <c r="C908" t="s">
        <v>144</v>
      </c>
      <c r="D908" t="str">
        <f t="shared" si="61"/>
        <v>Penfolds Bin 21 GrenacheNV</v>
      </c>
      <c r="E908">
        <f t="shared" si="59"/>
        <v>1</v>
      </c>
      <c r="F908" t="s">
        <v>1822</v>
      </c>
      <c r="G908" t="s">
        <v>1823</v>
      </c>
      <c r="H908" t="s">
        <v>144</v>
      </c>
      <c r="I908" t="str">
        <f t="shared" si="62"/>
        <v>Penfolds Bin 21 GrenacheNV</v>
      </c>
      <c r="J908">
        <f t="shared" si="60"/>
        <v>1</v>
      </c>
    </row>
    <row r="909" spans="1:10">
      <c r="A909" t="s">
        <v>1824</v>
      </c>
      <c r="B909" t="s">
        <v>1825</v>
      </c>
      <c r="C909" t="s">
        <v>144</v>
      </c>
      <c r="D909" t="str">
        <f t="shared" si="61"/>
        <v>Penfolds Bin 389NV</v>
      </c>
      <c r="E909">
        <f t="shared" si="59"/>
        <v>1</v>
      </c>
      <c r="F909" t="s">
        <v>1824</v>
      </c>
      <c r="G909" t="s">
        <v>1825</v>
      </c>
      <c r="H909" t="s">
        <v>144</v>
      </c>
      <c r="I909" t="str">
        <f t="shared" si="62"/>
        <v>Penfolds Bin 389NV</v>
      </c>
      <c r="J909">
        <f t="shared" si="60"/>
        <v>1</v>
      </c>
    </row>
    <row r="910" spans="1:10">
      <c r="A910" t="s">
        <v>1826</v>
      </c>
      <c r="B910" t="s">
        <v>1827</v>
      </c>
      <c r="C910" t="s">
        <v>144</v>
      </c>
      <c r="D910" t="str">
        <f t="shared" si="61"/>
        <v>Penfolds St HenriNV</v>
      </c>
      <c r="E910">
        <f t="shared" si="59"/>
        <v>1</v>
      </c>
      <c r="F910" t="s">
        <v>1826</v>
      </c>
      <c r="G910" t="s">
        <v>1827</v>
      </c>
      <c r="H910" t="s">
        <v>144</v>
      </c>
      <c r="I910" t="str">
        <f t="shared" si="62"/>
        <v>Penfolds St HenriNV</v>
      </c>
      <c r="J910">
        <f t="shared" si="60"/>
        <v>1</v>
      </c>
    </row>
    <row r="911" spans="1:10">
      <c r="A911" t="s">
        <v>1828</v>
      </c>
      <c r="B911" t="s">
        <v>1829</v>
      </c>
      <c r="C911" t="s">
        <v>144</v>
      </c>
      <c r="D911" t="str">
        <f t="shared" si="61"/>
        <v>Penfolds RWTNV</v>
      </c>
      <c r="E911">
        <f t="shared" si="59"/>
        <v>1</v>
      </c>
      <c r="F911" t="s">
        <v>1828</v>
      </c>
      <c r="G911" t="s">
        <v>1829</v>
      </c>
      <c r="H911" t="s">
        <v>144</v>
      </c>
      <c r="I911" t="str">
        <f t="shared" si="62"/>
        <v>Penfolds RWTNV</v>
      </c>
      <c r="J911">
        <f t="shared" si="60"/>
        <v>1</v>
      </c>
    </row>
    <row r="912" spans="1:10">
      <c r="A912" t="s">
        <v>1830</v>
      </c>
      <c r="B912" t="s">
        <v>1831</v>
      </c>
      <c r="C912" t="s">
        <v>144</v>
      </c>
      <c r="D912" t="str">
        <f t="shared" si="61"/>
        <v>Penfolds Superblend 802BNV</v>
      </c>
      <c r="E912">
        <f t="shared" si="59"/>
        <v>1</v>
      </c>
      <c r="F912" t="s">
        <v>1830</v>
      </c>
      <c r="G912" t="s">
        <v>1831</v>
      </c>
      <c r="H912" t="s">
        <v>144</v>
      </c>
      <c r="I912" t="str">
        <f t="shared" si="62"/>
        <v>Penfolds Superblend 802BNV</v>
      </c>
      <c r="J912">
        <f t="shared" si="60"/>
        <v>1</v>
      </c>
    </row>
    <row r="913" spans="1:10">
      <c r="A913" t="s">
        <v>1832</v>
      </c>
      <c r="B913" t="s">
        <v>1833</v>
      </c>
      <c r="C913" t="s">
        <v>144</v>
      </c>
      <c r="D913" t="str">
        <f t="shared" si="61"/>
        <v>Penfolds Superblend 802ANV</v>
      </c>
      <c r="E913">
        <f t="shared" si="59"/>
        <v>1</v>
      </c>
      <c r="F913" t="s">
        <v>1832</v>
      </c>
      <c r="G913" t="s">
        <v>1833</v>
      </c>
      <c r="H913" t="s">
        <v>144</v>
      </c>
      <c r="I913" t="str">
        <f t="shared" si="62"/>
        <v>Penfolds Superblend 802ANV</v>
      </c>
      <c r="J913">
        <f t="shared" si="60"/>
        <v>1</v>
      </c>
    </row>
    <row r="914" spans="1:10">
      <c r="A914" t="s">
        <v>1834</v>
      </c>
      <c r="B914" t="s">
        <v>1835</v>
      </c>
      <c r="C914" t="s">
        <v>144</v>
      </c>
      <c r="D914" t="str">
        <f t="shared" si="61"/>
        <v>Penfolds Bin 707NV</v>
      </c>
      <c r="E914">
        <f t="shared" si="59"/>
        <v>1</v>
      </c>
      <c r="F914" t="s">
        <v>1834</v>
      </c>
      <c r="G914" t="s">
        <v>1835</v>
      </c>
      <c r="H914" t="s">
        <v>144</v>
      </c>
      <c r="I914" t="str">
        <f t="shared" si="62"/>
        <v>Penfolds Bin 707NV</v>
      </c>
      <c r="J914">
        <f t="shared" si="60"/>
        <v>1</v>
      </c>
    </row>
    <row r="915" spans="1:10">
      <c r="A915" t="s">
        <v>1836</v>
      </c>
      <c r="B915" t="s">
        <v>1837</v>
      </c>
      <c r="C915" t="s">
        <v>144</v>
      </c>
      <c r="D915" t="str">
        <f t="shared" si="61"/>
        <v>Penfolds GrangeNV</v>
      </c>
      <c r="E915">
        <f t="shared" si="59"/>
        <v>1</v>
      </c>
      <c r="F915" t="s">
        <v>1836</v>
      </c>
      <c r="G915" t="s">
        <v>1837</v>
      </c>
      <c r="H915" t="s">
        <v>144</v>
      </c>
      <c r="I915" t="str">
        <f t="shared" si="62"/>
        <v>Penfolds GrangeNV</v>
      </c>
      <c r="J915">
        <f t="shared" si="60"/>
        <v>1</v>
      </c>
    </row>
    <row r="916" spans="1:10">
      <c r="A916" t="s">
        <v>1838</v>
      </c>
      <c r="B916" t="s">
        <v>1839</v>
      </c>
      <c r="C916" t="s">
        <v>144</v>
      </c>
      <c r="D916" t="str">
        <f t="shared" si="61"/>
        <v>Penfolds Bin 600 Cabernet ShirazNV</v>
      </c>
      <c r="E916">
        <f t="shared" si="59"/>
        <v>1</v>
      </c>
      <c r="F916" t="s">
        <v>1838</v>
      </c>
      <c r="G916" t="s">
        <v>1839</v>
      </c>
      <c r="H916" t="s">
        <v>144</v>
      </c>
      <c r="I916" t="str">
        <f t="shared" si="62"/>
        <v>Penfolds Bin 600 Cabernet ShirazNV</v>
      </c>
      <c r="J916">
        <f t="shared" si="60"/>
        <v>1</v>
      </c>
    </row>
    <row r="917" spans="1:10">
      <c r="A917" t="s">
        <v>1840</v>
      </c>
      <c r="B917" t="s">
        <v>1841</v>
      </c>
      <c r="C917" t="s">
        <v>144</v>
      </c>
      <c r="D917" t="str">
        <f t="shared" si="61"/>
        <v>Penfolds Bin 704NV</v>
      </c>
      <c r="E917">
        <f t="shared" si="59"/>
        <v>1</v>
      </c>
      <c r="F917" t="s">
        <v>1840</v>
      </c>
      <c r="G917" t="s">
        <v>1841</v>
      </c>
      <c r="H917" t="s">
        <v>144</v>
      </c>
      <c r="I917" t="str">
        <f t="shared" si="62"/>
        <v>Penfolds Bin 704NV</v>
      </c>
      <c r="J917">
        <f t="shared" si="60"/>
        <v>1</v>
      </c>
    </row>
    <row r="918" spans="1:10">
      <c r="A918" t="s">
        <v>1842</v>
      </c>
      <c r="B918" t="s">
        <v>1843</v>
      </c>
      <c r="C918" t="s">
        <v>144</v>
      </c>
      <c r="D918" t="str">
        <f t="shared" si="61"/>
        <v>Penfolds Bin 149NV</v>
      </c>
      <c r="E918">
        <f t="shared" si="59"/>
        <v>1</v>
      </c>
      <c r="F918" t="s">
        <v>1842</v>
      </c>
      <c r="G918" t="s">
        <v>1843</v>
      </c>
      <c r="H918" t="s">
        <v>144</v>
      </c>
      <c r="I918" t="str">
        <f t="shared" si="62"/>
        <v>Penfolds Bin 149NV</v>
      </c>
      <c r="J918">
        <f t="shared" si="60"/>
        <v>1</v>
      </c>
    </row>
    <row r="919" spans="1:10">
      <c r="A919" t="s">
        <v>1844</v>
      </c>
      <c r="B919" t="s">
        <v>1845</v>
      </c>
      <c r="C919" t="s">
        <v>144</v>
      </c>
      <c r="D919" t="str">
        <f t="shared" si="61"/>
        <v>Penfolds Bin 98 QuantumNV</v>
      </c>
      <c r="E919">
        <f t="shared" si="59"/>
        <v>1</v>
      </c>
      <c r="F919" t="s">
        <v>1844</v>
      </c>
      <c r="G919" t="s">
        <v>1845</v>
      </c>
      <c r="H919" t="s">
        <v>144</v>
      </c>
      <c r="I919" t="str">
        <f t="shared" si="62"/>
        <v>Penfolds Bin 98 QuantumNV</v>
      </c>
      <c r="J919">
        <f t="shared" si="60"/>
        <v>1</v>
      </c>
    </row>
    <row r="920" spans="1:10">
      <c r="A920" t="s">
        <v>1846</v>
      </c>
      <c r="B920" t="s">
        <v>1847</v>
      </c>
      <c r="C920" t="s">
        <v>144</v>
      </c>
      <c r="D920" t="str">
        <f t="shared" si="61"/>
        <v>Penfolds CWT 521NV</v>
      </c>
      <c r="E920">
        <f t="shared" si="59"/>
        <v>1</v>
      </c>
      <c r="F920" t="s">
        <v>1846</v>
      </c>
      <c r="G920" t="s">
        <v>1847</v>
      </c>
      <c r="H920" t="s">
        <v>144</v>
      </c>
      <c r="I920" t="str">
        <f t="shared" si="62"/>
        <v>Penfolds CWT 521NV</v>
      </c>
      <c r="J920">
        <f t="shared" si="60"/>
        <v>1</v>
      </c>
    </row>
    <row r="921" spans="1:10">
      <c r="A921" t="s">
        <v>1848</v>
      </c>
      <c r="B921" t="s">
        <v>1849</v>
      </c>
      <c r="C921" t="s">
        <v>144</v>
      </c>
      <c r="D921" t="str">
        <f t="shared" si="61"/>
        <v>Penfolds FWT 585NV</v>
      </c>
      <c r="E921">
        <f t="shared" si="59"/>
        <v>1</v>
      </c>
      <c r="F921" t="s">
        <v>1848</v>
      </c>
      <c r="G921" t="s">
        <v>1849</v>
      </c>
      <c r="H921" t="s">
        <v>144</v>
      </c>
      <c r="I921" t="str">
        <f t="shared" si="62"/>
        <v>Penfolds FWT 585NV</v>
      </c>
      <c r="J921">
        <f t="shared" si="60"/>
        <v>1</v>
      </c>
    </row>
    <row r="922" spans="1:10">
      <c r="A922" t="s">
        <v>1850</v>
      </c>
      <c r="B922" t="s">
        <v>1851</v>
      </c>
      <c r="C922" t="s">
        <v>289</v>
      </c>
      <c r="D922" t="str">
        <f t="shared" si="61"/>
        <v>Domaine Albert Joly Puligny-Montrachet 'Les Reuchaux'2023</v>
      </c>
      <c r="E922">
        <f t="shared" si="59"/>
        <v>1</v>
      </c>
      <c r="F922" t="s">
        <v>1850</v>
      </c>
      <c r="G922" s="6" t="s">
        <v>1851</v>
      </c>
      <c r="H922" s="5">
        <v>2023</v>
      </c>
      <c r="I922" t="str">
        <f t="shared" si="62"/>
        <v>Domaine Albert Joly Puligny-Montrachet 'Les Reuchaux'2023</v>
      </c>
      <c r="J922">
        <f t="shared" si="60"/>
        <v>1</v>
      </c>
    </row>
    <row r="923" spans="1:10">
      <c r="A923" t="s">
        <v>1852</v>
      </c>
      <c r="B923" t="s">
        <v>1853</v>
      </c>
      <c r="C923" t="s">
        <v>289</v>
      </c>
      <c r="D923" t="str">
        <f t="shared" si="61"/>
        <v>Domaine Chavy Chouet Puligny-Montrachet 'Les Enseigneres'2023</v>
      </c>
      <c r="E923">
        <f t="shared" si="59"/>
        <v>1</v>
      </c>
      <c r="F923" t="s">
        <v>1852</v>
      </c>
      <c r="G923" s="6" t="s">
        <v>1853</v>
      </c>
      <c r="H923" s="5">
        <v>2023</v>
      </c>
      <c r="I923" t="str">
        <f t="shared" si="62"/>
        <v>Domaine Chavy Chouet Puligny-Montrachet 'Les Enseigneres'2023</v>
      </c>
      <c r="J923">
        <f t="shared" si="60"/>
        <v>1</v>
      </c>
    </row>
    <row r="924" spans="1:10">
      <c r="A924" t="s">
        <v>1854</v>
      </c>
      <c r="B924" t="s">
        <v>1855</v>
      </c>
      <c r="C924" t="s">
        <v>30</v>
      </c>
      <c r="D924" t="str">
        <f t="shared" si="61"/>
        <v>Domaine Clos des Rocs Pouilly Loche 'Les Mures'2022</v>
      </c>
      <c r="E924">
        <f t="shared" si="59"/>
        <v>1</v>
      </c>
      <c r="F924" t="s">
        <v>1854</v>
      </c>
      <c r="G924" s="6" t="s">
        <v>1855</v>
      </c>
      <c r="H924" s="5">
        <v>2022</v>
      </c>
      <c r="I924" t="str">
        <f t="shared" si="62"/>
        <v>Domaine Clos des Rocs Pouilly Loche 'Les Mures'2022</v>
      </c>
      <c r="J924">
        <f t="shared" si="60"/>
        <v>1</v>
      </c>
    </row>
    <row r="925" spans="1:10">
      <c r="A925" t="s">
        <v>1856</v>
      </c>
      <c r="B925" t="s">
        <v>1857</v>
      </c>
      <c r="C925" t="s">
        <v>30</v>
      </c>
      <c r="D925" t="str">
        <f t="shared" si="61"/>
        <v>Domaine Naima &amp; David Didon Bourgogne Blanc2022</v>
      </c>
      <c r="E925">
        <f t="shared" si="59"/>
        <v>1</v>
      </c>
      <c r="F925" t="s">
        <v>1856</v>
      </c>
      <c r="G925" s="6" t="s">
        <v>1857</v>
      </c>
      <c r="H925" s="5">
        <v>2022</v>
      </c>
      <c r="I925" t="str">
        <f t="shared" si="62"/>
        <v>Domaine Naima &amp; David Didon Bourgogne Blanc2022</v>
      </c>
      <c r="J925">
        <f t="shared" si="60"/>
        <v>1</v>
      </c>
    </row>
    <row r="926" spans="1:10">
      <c r="A926" t="s">
        <v>1858</v>
      </c>
      <c r="B926" t="s">
        <v>1859</v>
      </c>
      <c r="C926" t="s">
        <v>30</v>
      </c>
      <c r="D926" t="str">
        <f t="shared" si="61"/>
        <v>Guy Bocard Bourgogne Côte d'Or2022</v>
      </c>
      <c r="E926">
        <f t="shared" si="59"/>
        <v>1</v>
      </c>
      <c r="F926" t="s">
        <v>1858</v>
      </c>
      <c r="G926" s="6" t="s">
        <v>1859</v>
      </c>
      <c r="H926" s="5">
        <v>2022</v>
      </c>
      <c r="I926" t="str">
        <f t="shared" si="62"/>
        <v>Guy Bocard Bourgogne Côte d'Or2022</v>
      </c>
      <c r="J926">
        <f t="shared" si="60"/>
        <v>1</v>
      </c>
    </row>
    <row r="927" spans="1:10">
      <c r="A927" t="s">
        <v>1860</v>
      </c>
      <c r="B927" t="s">
        <v>1861</v>
      </c>
      <c r="C927" t="s">
        <v>289</v>
      </c>
      <c r="D927" t="str">
        <f t="shared" si="61"/>
        <v>Patrick Javillier Meursault 'Clos du Cromin'2023</v>
      </c>
      <c r="E927">
        <f t="shared" si="59"/>
        <v>1</v>
      </c>
      <c r="F927" t="s">
        <v>1860</v>
      </c>
      <c r="G927" s="6" t="s">
        <v>1861</v>
      </c>
      <c r="H927" s="5">
        <v>2023</v>
      </c>
      <c r="I927" t="str">
        <f t="shared" si="62"/>
        <v>Patrick Javillier Meursault 'Clos du Cromin'2023</v>
      </c>
      <c r="J927">
        <f t="shared" si="60"/>
        <v>1</v>
      </c>
    </row>
    <row r="928" spans="1:10">
      <c r="A928" t="s">
        <v>1862</v>
      </c>
      <c r="B928" t="s">
        <v>1863</v>
      </c>
      <c r="C928" t="s">
        <v>30</v>
      </c>
      <c r="D928" t="str">
        <f t="shared" si="61"/>
        <v>Domaine Pinson Freres Chablis 'La Foret' Premier Cru2022</v>
      </c>
      <c r="E928">
        <f t="shared" si="59"/>
        <v>1</v>
      </c>
      <c r="F928" t="s">
        <v>1862</v>
      </c>
      <c r="G928" s="6" t="s">
        <v>1863</v>
      </c>
      <c r="H928" s="5">
        <v>2022</v>
      </c>
      <c r="I928" t="str">
        <f t="shared" si="62"/>
        <v>Domaine Pinson Freres Chablis 'La Foret' Premier Cru2022</v>
      </c>
      <c r="J928">
        <f t="shared" si="60"/>
        <v>1</v>
      </c>
    </row>
    <row r="929" spans="1:10">
      <c r="A929" t="s">
        <v>1864</v>
      </c>
      <c r="B929" t="s">
        <v>1865</v>
      </c>
      <c r="C929" t="s">
        <v>30</v>
      </c>
      <c r="D929" t="str">
        <f t="shared" si="61"/>
        <v>Sylvain Dussort Bourgogne Aligoté2022</v>
      </c>
      <c r="E929">
        <f t="shared" si="59"/>
        <v>1</v>
      </c>
      <c r="F929" t="s">
        <v>1864</v>
      </c>
      <c r="G929" s="6" t="s">
        <v>1865</v>
      </c>
      <c r="H929" s="5">
        <v>2022</v>
      </c>
      <c r="I929" t="str">
        <f t="shared" si="62"/>
        <v>Sylvain Dussort Bourgogne Aligoté2022</v>
      </c>
      <c r="J929">
        <f t="shared" si="60"/>
        <v>1</v>
      </c>
    </row>
    <row r="930" spans="1:10">
      <c r="A930" t="s">
        <v>1866</v>
      </c>
      <c r="B930" t="s">
        <v>1867</v>
      </c>
      <c r="C930" t="s">
        <v>92</v>
      </c>
      <c r="D930" t="str">
        <f t="shared" si="61"/>
        <v>Alain Maurice Gavignet Nuits-Saint-Georges 'Les Chaboeufs' Premier Cru2020</v>
      </c>
      <c r="E930">
        <f t="shared" si="59"/>
        <v>1</v>
      </c>
      <c r="F930" t="s">
        <v>1866</v>
      </c>
      <c r="G930" s="6" t="s">
        <v>1867</v>
      </c>
      <c r="H930" s="5">
        <v>2020</v>
      </c>
      <c r="I930" t="str">
        <f t="shared" si="62"/>
        <v>Alain Maurice Gavignet Nuits-Saint-Georges 'Les Chaboeufs' Premier Cru2020</v>
      </c>
      <c r="J930">
        <f t="shared" si="60"/>
        <v>1</v>
      </c>
    </row>
    <row r="931" spans="1:10">
      <c r="A931" t="s">
        <v>1868</v>
      </c>
      <c r="B931" t="s">
        <v>1869</v>
      </c>
      <c r="C931" t="s">
        <v>289</v>
      </c>
      <c r="D931" t="str">
        <f t="shared" si="61"/>
        <v>Domaine Buisson-Charles Beaune 'Les Teurons' Premier Cru2023</v>
      </c>
      <c r="E931">
        <f t="shared" si="59"/>
        <v>1</v>
      </c>
      <c r="F931" t="s">
        <v>1868</v>
      </c>
      <c r="G931" s="6" t="s">
        <v>1869</v>
      </c>
      <c r="H931" s="5">
        <v>2023</v>
      </c>
      <c r="I931" t="str">
        <f t="shared" si="62"/>
        <v>Domaine Buisson-Charles Beaune 'Les Teurons' Premier Cru2023</v>
      </c>
      <c r="J931">
        <f t="shared" si="60"/>
        <v>1</v>
      </c>
    </row>
    <row r="932" spans="1:10">
      <c r="A932" t="s">
        <v>1870</v>
      </c>
      <c r="B932" t="s">
        <v>1871</v>
      </c>
      <c r="C932" t="s">
        <v>30</v>
      </c>
      <c r="D932" t="str">
        <f t="shared" si="61"/>
        <v>Domaine Naima &amp; David Didon Bourgogne ' Cuvee Longue' Rouge2022</v>
      </c>
      <c r="E932">
        <f t="shared" si="59"/>
        <v>1</v>
      </c>
      <c r="F932" t="s">
        <v>1870</v>
      </c>
      <c r="G932" s="6" t="s">
        <v>1871</v>
      </c>
      <c r="H932" s="5">
        <v>2022</v>
      </c>
      <c r="I932" t="str">
        <f t="shared" si="62"/>
        <v>Domaine Naima &amp; David Didon Bourgogne ' Cuvee Longue' Rouge2022</v>
      </c>
      <c r="J932">
        <f t="shared" si="60"/>
        <v>1</v>
      </c>
    </row>
    <row r="933" spans="1:10">
      <c r="A933" t="s">
        <v>1872</v>
      </c>
      <c r="B933" t="s">
        <v>1873</v>
      </c>
      <c r="C933" t="s">
        <v>30</v>
      </c>
      <c r="D933" t="str">
        <f t="shared" si="61"/>
        <v>Dominique Laurent Gevrey-Chambertin 'Les Champeaux' Premier Cru2022</v>
      </c>
      <c r="E933">
        <f t="shared" si="59"/>
        <v>1</v>
      </c>
      <c r="F933" t="s">
        <v>1872</v>
      </c>
      <c r="G933" s="6" t="s">
        <v>1873</v>
      </c>
      <c r="H933" s="5">
        <v>2022</v>
      </c>
      <c r="I933" t="str">
        <f t="shared" si="62"/>
        <v>Dominique Laurent Gevrey-Chambertin 'Les Champeaux' Premier Cru2022</v>
      </c>
      <c r="J933">
        <f t="shared" si="60"/>
        <v>1</v>
      </c>
    </row>
    <row r="934" spans="1:10">
      <c r="A934" t="s">
        <v>1874</v>
      </c>
      <c r="B934" t="s">
        <v>1875</v>
      </c>
      <c r="C934" t="s">
        <v>30</v>
      </c>
      <c r="D934" t="str">
        <f t="shared" si="61"/>
        <v>Domaine Gachot-Monot Côte de Nuits-Villages 'Les Chaillots'2022</v>
      </c>
      <c r="E934">
        <f t="shared" si="59"/>
        <v>1</v>
      </c>
      <c r="F934" t="s">
        <v>1874</v>
      </c>
      <c r="G934" s="6" t="s">
        <v>1875</v>
      </c>
      <c r="H934" s="5">
        <v>2022</v>
      </c>
      <c r="I934" t="str">
        <f t="shared" si="62"/>
        <v>Domaine Gachot-Monot Côte de Nuits-Villages 'Les Chaillots'2022</v>
      </c>
      <c r="J934">
        <f t="shared" si="60"/>
        <v>1</v>
      </c>
    </row>
    <row r="935" spans="1:10">
      <c r="A935" t="s">
        <v>1876</v>
      </c>
      <c r="B935" t="s">
        <v>1877</v>
      </c>
      <c r="C935" t="s">
        <v>289</v>
      </c>
      <c r="D935" t="str">
        <f t="shared" si="61"/>
        <v>Julien Sunier Morgon 2023</v>
      </c>
      <c r="E935">
        <f t="shared" si="59"/>
        <v>1</v>
      </c>
      <c r="F935" t="s">
        <v>1876</v>
      </c>
      <c r="G935" s="6" t="s">
        <v>1877</v>
      </c>
      <c r="H935" s="5">
        <v>2023</v>
      </c>
      <c r="I935" t="str">
        <f t="shared" si="62"/>
        <v>Julien Sunier Morgon 2023</v>
      </c>
      <c r="J935">
        <f t="shared" si="60"/>
        <v>1</v>
      </c>
    </row>
    <row r="936" spans="1:10">
      <c r="A936" t="s">
        <v>1878</v>
      </c>
      <c r="B936" t="s">
        <v>1879</v>
      </c>
      <c r="C936" t="s">
        <v>30</v>
      </c>
      <c r="D936" t="str">
        <f t="shared" si="61"/>
        <v>Sylvain Dussort Chorey-les-Beaune 'Les Beaumonts'2022</v>
      </c>
      <c r="E936">
        <f t="shared" si="59"/>
        <v>1</v>
      </c>
      <c r="F936" t="s">
        <v>1878</v>
      </c>
      <c r="G936" s="6" t="s">
        <v>1879</v>
      </c>
      <c r="H936" s="5">
        <v>2022</v>
      </c>
      <c r="I936" t="str">
        <f t="shared" si="62"/>
        <v>Sylvain Dussort Chorey-les-Beaune 'Les Beaumonts'2022</v>
      </c>
      <c r="J936">
        <f t="shared" si="60"/>
        <v>1</v>
      </c>
    </row>
    <row r="937" spans="1:10">
      <c r="A937" t="s">
        <v>1880</v>
      </c>
      <c r="B937" t="s">
        <v>1881</v>
      </c>
      <c r="C937" t="s">
        <v>289</v>
      </c>
      <c r="D937" t="str">
        <f t="shared" si="61"/>
        <v>Domaine Sylvain Langoureau Bourgogne Hautes Cotes de Beaune 'Clos Marc' Rouge2023</v>
      </c>
      <c r="E937">
        <f t="shared" si="59"/>
        <v>1</v>
      </c>
      <c r="F937" t="s">
        <v>1880</v>
      </c>
      <c r="G937" s="6" t="s">
        <v>1881</v>
      </c>
      <c r="H937" s="5">
        <v>2023</v>
      </c>
      <c r="I937" t="str">
        <f t="shared" si="62"/>
        <v>Domaine Sylvain Langoureau Bourgogne Hautes Cotes de Beaune 'Clos Marc' Rouge2023</v>
      </c>
      <c r="J937">
        <f t="shared" si="60"/>
        <v>1</v>
      </c>
    </row>
    <row r="938" spans="1:10">
      <c r="A938" t="s">
        <v>1882</v>
      </c>
      <c r="B938" t="s">
        <v>1883</v>
      </c>
      <c r="C938" t="s">
        <v>144</v>
      </c>
      <c r="D938" t="str">
        <f t="shared" si="61"/>
        <v>Guy Charlemagne Blanc de Blancs Brut Réserve Grand Cru NV</v>
      </c>
      <c r="E938">
        <f t="shared" si="59"/>
        <v>1</v>
      </c>
      <c r="F938" t="s">
        <v>1882</v>
      </c>
      <c r="G938" s="6" t="s">
        <v>1883</v>
      </c>
      <c r="H938" s="5" t="s">
        <v>144</v>
      </c>
      <c r="I938" t="str">
        <f t="shared" si="62"/>
        <v>Guy Charlemagne Blanc de Blancs Brut Réserve Grand Cru NV</v>
      </c>
      <c r="J938">
        <f t="shared" si="60"/>
        <v>1</v>
      </c>
    </row>
    <row r="939" spans="1:10">
      <c r="A939" t="s">
        <v>1884</v>
      </c>
      <c r="B939" t="s">
        <v>1885</v>
      </c>
      <c r="C939" t="s">
        <v>144</v>
      </c>
      <c r="D939" t="str">
        <f t="shared" si="61"/>
        <v>Herve Dubois Brut Rose Grand Cru NV</v>
      </c>
      <c r="E939">
        <f t="shared" si="59"/>
        <v>1</v>
      </c>
      <c r="F939" t="s">
        <v>1884</v>
      </c>
      <c r="G939" s="6" t="s">
        <v>1885</v>
      </c>
      <c r="H939" s="5" t="s">
        <v>144</v>
      </c>
      <c r="I939" t="str">
        <f t="shared" si="62"/>
        <v>Herve Dubois Brut Rose Grand Cru NV</v>
      </c>
      <c r="J939">
        <f t="shared" si="60"/>
        <v>1</v>
      </c>
    </row>
    <row r="940" spans="1:10">
      <c r="A940" t="s">
        <v>1886</v>
      </c>
      <c r="B940" t="s">
        <v>1887</v>
      </c>
      <c r="C940" t="s">
        <v>144</v>
      </c>
      <c r="D940" t="str">
        <f t="shared" si="61"/>
        <v>Paul Launois 'Illustration' Blanc de Blancs Extra Brut Grand Cru NV</v>
      </c>
      <c r="E940">
        <f t="shared" si="59"/>
        <v>1</v>
      </c>
      <c r="F940" t="s">
        <v>1886</v>
      </c>
      <c r="G940" s="6" t="s">
        <v>1887</v>
      </c>
      <c r="H940" s="5" t="s">
        <v>144</v>
      </c>
      <c r="I940" t="str">
        <f t="shared" si="62"/>
        <v>Paul Launois 'Illustration' Blanc de Blancs Extra Brut Grand Cru NV</v>
      </c>
      <c r="J940">
        <f t="shared" si="60"/>
        <v>1</v>
      </c>
    </row>
    <row r="941" spans="1:10">
      <c r="A941" t="s">
        <v>1888</v>
      </c>
      <c r="B941" t="s">
        <v>1889</v>
      </c>
      <c r="C941" t="s">
        <v>118</v>
      </c>
      <c r="D941" t="str">
        <f t="shared" si="61"/>
        <v>Eden Rift Vineyards Reserve Pinot Noir2018</v>
      </c>
      <c r="E941">
        <f t="shared" si="59"/>
        <v>1</v>
      </c>
      <c r="F941" t="s">
        <v>1888</v>
      </c>
      <c r="G941" s="6" t="s">
        <v>1889</v>
      </c>
      <c r="H941" s="5">
        <v>2018</v>
      </c>
      <c r="I941" t="str">
        <f t="shared" si="62"/>
        <v>Eden Rift Vineyards Reserve Pinot Noir2018</v>
      </c>
      <c r="J941">
        <f t="shared" si="60"/>
        <v>1</v>
      </c>
    </row>
    <row r="942" spans="1:10">
      <c r="A942" t="s">
        <v>1890</v>
      </c>
      <c r="B942" t="s">
        <v>1891</v>
      </c>
      <c r="C942" t="s">
        <v>118</v>
      </c>
      <c r="D942" t="str">
        <f t="shared" si="61"/>
        <v>Eden Rift Vineyards Reserve Chardonnay2018</v>
      </c>
      <c r="E942">
        <f t="shared" si="59"/>
        <v>1</v>
      </c>
      <c r="F942" t="s">
        <v>1890</v>
      </c>
      <c r="G942" s="6" t="s">
        <v>1891</v>
      </c>
      <c r="H942" s="5">
        <v>2018</v>
      </c>
      <c r="I942" t="str">
        <f t="shared" si="62"/>
        <v>Eden Rift Vineyards Reserve Chardonnay2018</v>
      </c>
      <c r="J942">
        <f t="shared" si="60"/>
        <v>1</v>
      </c>
    </row>
    <row r="943" spans="1:10">
      <c r="A943" t="s">
        <v>1892</v>
      </c>
      <c r="B943" t="s">
        <v>1893</v>
      </c>
      <c r="C943" t="s">
        <v>30</v>
      </c>
      <c r="D943" t="str">
        <f t="shared" si="61"/>
        <v>BK Wines 'Carte Blanche' Rouge2022</v>
      </c>
      <c r="E943">
        <f t="shared" si="59"/>
        <v>1</v>
      </c>
      <c r="F943" t="s">
        <v>1892</v>
      </c>
      <c r="G943" s="6" t="s">
        <v>2433</v>
      </c>
      <c r="H943" s="5">
        <v>2022</v>
      </c>
      <c r="I943" t="str">
        <f t="shared" si="62"/>
        <v>BK Wines 'Carte Blanche' Rouge2022</v>
      </c>
      <c r="J943">
        <f t="shared" si="60"/>
        <v>1</v>
      </c>
    </row>
    <row r="944" spans="1:10">
      <c r="A944" t="s">
        <v>1894</v>
      </c>
      <c r="B944" t="s">
        <v>1895</v>
      </c>
      <c r="C944" t="s">
        <v>289</v>
      </c>
      <c r="D944" t="str">
        <f t="shared" si="61"/>
        <v>BK Wines 'Swaby' Single Vineyard Chardonnay2023</v>
      </c>
      <c r="E944">
        <f t="shared" si="59"/>
        <v>1</v>
      </c>
      <c r="F944" t="s">
        <v>1894</v>
      </c>
      <c r="G944" s="6" t="s">
        <v>2434</v>
      </c>
      <c r="H944" s="5">
        <v>2023</v>
      </c>
      <c r="I944" t="str">
        <f t="shared" si="62"/>
        <v>BK Wines 'Swaby' Single Vineyard Chardonnay2023</v>
      </c>
      <c r="J944">
        <f t="shared" si="60"/>
        <v>1</v>
      </c>
    </row>
    <row r="945" spans="1:10">
      <c r="A945" t="s">
        <v>1896</v>
      </c>
      <c r="B945" t="s">
        <v>1897</v>
      </c>
      <c r="C945" t="s">
        <v>144</v>
      </c>
      <c r="D945" t="str">
        <f t="shared" si="61"/>
        <v>Andre Clouet Grande Reserve Brut NV</v>
      </c>
      <c r="E945">
        <f t="shared" si="59"/>
        <v>1</v>
      </c>
      <c r="F945" t="s">
        <v>1896</v>
      </c>
      <c r="G945" s="6" t="s">
        <v>1897</v>
      </c>
      <c r="H945" s="5" t="s">
        <v>144</v>
      </c>
      <c r="I945" t="str">
        <f t="shared" si="62"/>
        <v>Andre Clouet Grande Reserve Brut NV</v>
      </c>
      <c r="J945">
        <f t="shared" si="60"/>
        <v>1</v>
      </c>
    </row>
    <row r="946" spans="1:10">
      <c r="A946" t="s">
        <v>1898</v>
      </c>
      <c r="B946" t="s">
        <v>1899</v>
      </c>
      <c r="C946" t="s">
        <v>144</v>
      </c>
      <c r="D946" t="str">
        <f t="shared" si="61"/>
        <v>Andre Clouet The V6 Experience BrutNV</v>
      </c>
      <c r="E946">
        <f t="shared" si="59"/>
        <v>1</v>
      </c>
      <c r="F946" t="s">
        <v>1898</v>
      </c>
      <c r="G946" s="6" t="s">
        <v>2435</v>
      </c>
      <c r="H946" s="5" t="s">
        <v>144</v>
      </c>
      <c r="I946" t="str">
        <f t="shared" si="62"/>
        <v>Andre Clouet The V6 Experience BrutNV</v>
      </c>
      <c r="J946">
        <f t="shared" si="60"/>
        <v>1</v>
      </c>
    </row>
    <row r="947" spans="1:10">
      <c r="A947" t="s">
        <v>1900</v>
      </c>
      <c r="B947" t="s">
        <v>1901</v>
      </c>
      <c r="C947" t="s">
        <v>222</v>
      </c>
      <c r="D947" t="str">
        <f t="shared" si="61"/>
        <v>Andre Clouet 'Dream Vintage' Brut2015</v>
      </c>
      <c r="E947">
        <f t="shared" si="59"/>
        <v>1</v>
      </c>
      <c r="F947" t="s">
        <v>1900</v>
      </c>
      <c r="G947" s="6" t="s">
        <v>1901</v>
      </c>
      <c r="H947" s="5" t="s">
        <v>222</v>
      </c>
      <c r="I947" t="str">
        <f t="shared" si="62"/>
        <v>Andre Clouet 'Dream Vintage' Brut2015</v>
      </c>
      <c r="J947">
        <f t="shared" si="60"/>
        <v>1</v>
      </c>
    </row>
    <row r="948" spans="1:10">
      <c r="A948" t="s">
        <v>1902</v>
      </c>
      <c r="B948" t="s">
        <v>1903</v>
      </c>
      <c r="C948" t="s">
        <v>144</v>
      </c>
      <c r="D948" t="str">
        <f t="shared" si="61"/>
        <v>Andre Clouet Brut Rosé Grand Cru (NO. 5)NV</v>
      </c>
      <c r="E948">
        <f t="shared" si="59"/>
        <v>1</v>
      </c>
      <c r="F948" t="s">
        <v>1902</v>
      </c>
      <c r="G948" s="6" t="s">
        <v>1903</v>
      </c>
      <c r="H948" s="5" t="s">
        <v>144</v>
      </c>
      <c r="I948" t="str">
        <f t="shared" si="62"/>
        <v>Andre Clouet Brut Rosé Grand Cru (NO. 5)NV</v>
      </c>
      <c r="J948">
        <f t="shared" si="60"/>
        <v>1</v>
      </c>
    </row>
    <row r="949" spans="1:10">
      <c r="A949" t="s">
        <v>1904</v>
      </c>
      <c r="B949" t="s">
        <v>1905</v>
      </c>
      <c r="C949" t="s">
        <v>144</v>
      </c>
      <c r="D949" t="str">
        <f t="shared" si="61"/>
        <v>Andre Clouet 'Un Jour de 1911' Brut (OWC6)NV</v>
      </c>
      <c r="E949">
        <f t="shared" si="59"/>
        <v>1</v>
      </c>
      <c r="F949" t="s">
        <v>1904</v>
      </c>
      <c r="G949" s="6" t="s">
        <v>1905</v>
      </c>
      <c r="H949" s="5" t="s">
        <v>144</v>
      </c>
      <c r="I949" t="str">
        <f t="shared" si="62"/>
        <v>Andre Clouet 'Un Jour de 1911' Brut (OWC6)NV</v>
      </c>
      <c r="J949">
        <f t="shared" si="60"/>
        <v>1</v>
      </c>
    </row>
    <row r="950" spans="1:10">
      <c r="A950" t="s">
        <v>1906</v>
      </c>
      <c r="B950" t="s">
        <v>1907</v>
      </c>
      <c r="C950" t="s">
        <v>144</v>
      </c>
      <c r="D950" t="str">
        <f t="shared" si="61"/>
        <v>Varnier Fanniere Brut Rosé Grand CruNV</v>
      </c>
      <c r="E950">
        <f t="shared" si="59"/>
        <v>1</v>
      </c>
      <c r="F950" t="s">
        <v>1906</v>
      </c>
      <c r="G950" s="6" t="s">
        <v>1907</v>
      </c>
      <c r="H950" s="5" t="s">
        <v>144</v>
      </c>
      <c r="I950" t="str">
        <f t="shared" si="62"/>
        <v>Varnier Fanniere Brut Rosé Grand CruNV</v>
      </c>
      <c r="J950">
        <f t="shared" si="60"/>
        <v>1</v>
      </c>
    </row>
    <row r="951" spans="1:10">
      <c r="A951" t="s">
        <v>1908</v>
      </c>
      <c r="B951" t="s">
        <v>1909</v>
      </c>
      <c r="C951" t="s">
        <v>144</v>
      </c>
      <c r="D951" t="str">
        <f t="shared" si="61"/>
        <v>Varnier Fanniere 'Cuvee Jean Fanniere Origine' Extra Brut Grand Cru NV</v>
      </c>
      <c r="E951">
        <f t="shared" si="59"/>
        <v>1</v>
      </c>
      <c r="F951" t="s">
        <v>1908</v>
      </c>
      <c r="G951" s="6" t="s">
        <v>1909</v>
      </c>
      <c r="H951" s="5" t="s">
        <v>144</v>
      </c>
      <c r="I951" t="str">
        <f t="shared" si="62"/>
        <v>Varnier Fanniere 'Cuvee Jean Fanniere Origine' Extra Brut Grand Cru NV</v>
      </c>
      <c r="J951">
        <f t="shared" si="60"/>
        <v>1</v>
      </c>
    </row>
    <row r="952" spans="1:10">
      <c r="A952" t="s">
        <v>1910</v>
      </c>
      <c r="B952" t="s">
        <v>1911</v>
      </c>
      <c r="C952" t="s">
        <v>144</v>
      </c>
      <c r="D952" t="str">
        <f t="shared" si="61"/>
        <v>Andre Clouet 'Chalky' BrutNV</v>
      </c>
      <c r="E952">
        <f t="shared" si="59"/>
        <v>1</v>
      </c>
      <c r="F952" t="s">
        <v>1910</v>
      </c>
      <c r="G952" s="6" t="s">
        <v>1911</v>
      </c>
      <c r="H952" s="5" t="s">
        <v>144</v>
      </c>
      <c r="I952" t="str">
        <f t="shared" si="62"/>
        <v>Andre Clouet 'Chalky' BrutNV</v>
      </c>
      <c r="J952">
        <f t="shared" si="60"/>
        <v>1</v>
      </c>
    </row>
    <row r="953" spans="1:10">
      <c r="A953" t="s">
        <v>1912</v>
      </c>
      <c r="B953" t="s">
        <v>1913</v>
      </c>
      <c r="C953" t="s">
        <v>144</v>
      </c>
      <c r="D953" t="str">
        <f t="shared" si="61"/>
        <v>Varnier Fanniere Brut Grand Cru NV</v>
      </c>
      <c r="E953">
        <f t="shared" si="59"/>
        <v>1</v>
      </c>
      <c r="F953" t="s">
        <v>1912</v>
      </c>
      <c r="G953" s="6" t="s">
        <v>1913</v>
      </c>
      <c r="H953" s="5" t="s">
        <v>144</v>
      </c>
      <c r="I953" t="str">
        <f t="shared" si="62"/>
        <v>Varnier Fanniere Brut Grand Cru NV</v>
      </c>
      <c r="J953">
        <f t="shared" si="60"/>
        <v>1</v>
      </c>
    </row>
    <row r="954" spans="1:10">
      <c r="A954" t="s">
        <v>1914</v>
      </c>
      <c r="B954" t="s">
        <v>1915</v>
      </c>
      <c r="C954" t="s">
        <v>144</v>
      </c>
      <c r="D954" t="str">
        <f t="shared" si="61"/>
        <v>Varnier Fanniere 'Esprit de Craie' Extra Brut RoséNV</v>
      </c>
      <c r="E954">
        <f t="shared" si="59"/>
        <v>1</v>
      </c>
      <c r="F954" t="s">
        <v>1914</v>
      </c>
      <c r="G954" s="6" t="s">
        <v>1915</v>
      </c>
      <c r="H954" s="5" t="s">
        <v>144</v>
      </c>
      <c r="I954" t="str">
        <f t="shared" si="62"/>
        <v>Varnier Fanniere 'Esprit de Craie' Extra Brut RoséNV</v>
      </c>
      <c r="J954">
        <f t="shared" si="60"/>
        <v>1</v>
      </c>
    </row>
    <row r="955" spans="1:10">
      <c r="A955" t="s">
        <v>1916</v>
      </c>
      <c r="B955" t="s">
        <v>1901</v>
      </c>
      <c r="C955" t="s">
        <v>172</v>
      </c>
      <c r="D955" t="str">
        <f t="shared" si="61"/>
        <v>Andre Clouet 'Dream Vintage' Brut2012</v>
      </c>
      <c r="E955">
        <f t="shared" si="59"/>
        <v>1</v>
      </c>
      <c r="F955" t="s">
        <v>1916</v>
      </c>
      <c r="G955" s="6" t="s">
        <v>1901</v>
      </c>
      <c r="H955" s="5" t="s">
        <v>172</v>
      </c>
      <c r="I955" t="str">
        <f t="shared" si="62"/>
        <v>Andre Clouet 'Dream Vintage' Brut2012</v>
      </c>
      <c r="J955">
        <f t="shared" si="60"/>
        <v>1</v>
      </c>
    </row>
    <row r="956" spans="1:10">
      <c r="A956" t="s">
        <v>1917</v>
      </c>
      <c r="B956" t="s">
        <v>1901</v>
      </c>
      <c r="C956" t="s">
        <v>129</v>
      </c>
      <c r="D956" t="str">
        <f t="shared" si="61"/>
        <v>Andre Clouet 'Dream Vintage' Brut2016</v>
      </c>
      <c r="E956">
        <f t="shared" si="59"/>
        <v>1</v>
      </c>
      <c r="F956" t="s">
        <v>1917</v>
      </c>
      <c r="G956" s="6" t="s">
        <v>1901</v>
      </c>
      <c r="H956" s="5" t="s">
        <v>129</v>
      </c>
      <c r="I956" t="str">
        <f t="shared" si="62"/>
        <v>Andre Clouet 'Dream Vintage' Brut2016</v>
      </c>
      <c r="J956">
        <f t="shared" si="60"/>
        <v>1</v>
      </c>
    </row>
    <row r="957" spans="1:10">
      <c r="A957" t="s">
        <v>1918</v>
      </c>
      <c r="B957" t="s">
        <v>1919</v>
      </c>
      <c r="C957" t="s">
        <v>222</v>
      </c>
      <c r="D957" t="str">
        <f t="shared" si="61"/>
        <v>Varnier Fanniere Vintage Brut Grand Cru 2015</v>
      </c>
      <c r="E957">
        <f t="shared" si="59"/>
        <v>1</v>
      </c>
      <c r="F957" t="s">
        <v>1918</v>
      </c>
      <c r="G957" s="6" t="s">
        <v>1919</v>
      </c>
      <c r="H957" s="5" t="s">
        <v>222</v>
      </c>
      <c r="I957" t="str">
        <f t="shared" si="62"/>
        <v>Varnier Fanniere Vintage Brut Grand Cru 2015</v>
      </c>
      <c r="J957">
        <f t="shared" si="60"/>
        <v>1</v>
      </c>
    </row>
    <row r="958" spans="1:10">
      <c r="A958" t="s">
        <v>1920</v>
      </c>
      <c r="B958" t="s">
        <v>1901</v>
      </c>
      <c r="C958" t="s">
        <v>129</v>
      </c>
      <c r="D958" t="str">
        <f t="shared" si="61"/>
        <v>Andre Clouet 'Dream Vintage' Brut2016</v>
      </c>
      <c r="E958">
        <f t="shared" si="59"/>
        <v>1</v>
      </c>
      <c r="F958" t="s">
        <v>1920</v>
      </c>
      <c r="G958" s="6" t="s">
        <v>1901</v>
      </c>
      <c r="H958" s="5" t="s">
        <v>129</v>
      </c>
      <c r="I958" t="str">
        <f t="shared" si="62"/>
        <v>Andre Clouet 'Dream Vintage' Brut2016</v>
      </c>
      <c r="J958">
        <f t="shared" si="60"/>
        <v>1</v>
      </c>
    </row>
    <row r="959" spans="1:10">
      <c r="A959" t="s">
        <v>1921</v>
      </c>
      <c r="B959" t="s">
        <v>1901</v>
      </c>
      <c r="C959" t="s">
        <v>127</v>
      </c>
      <c r="D959" t="str">
        <f t="shared" si="61"/>
        <v>Andre Clouet 'Dream Vintage' Brut2009</v>
      </c>
      <c r="E959">
        <f t="shared" si="59"/>
        <v>1</v>
      </c>
      <c r="F959" t="s">
        <v>1921</v>
      </c>
      <c r="G959" s="6" t="s">
        <v>1901</v>
      </c>
      <c r="H959" s="5" t="s">
        <v>127</v>
      </c>
      <c r="I959" t="str">
        <f t="shared" si="62"/>
        <v>Andre Clouet 'Dream Vintage' Brut2009</v>
      </c>
      <c r="J959">
        <f t="shared" si="60"/>
        <v>1</v>
      </c>
    </row>
    <row r="960" spans="1:10">
      <c r="A960" t="s">
        <v>1922</v>
      </c>
      <c r="B960" t="s">
        <v>1923</v>
      </c>
      <c r="C960" t="s">
        <v>144</v>
      </c>
      <c r="D960" t="str">
        <f t="shared" si="61"/>
        <v>Andre Clouet Grande Reserve BrutNV</v>
      </c>
      <c r="E960">
        <f t="shared" si="59"/>
        <v>1</v>
      </c>
      <c r="F960" t="s">
        <v>1922</v>
      </c>
      <c r="G960" s="6" t="s">
        <v>1923</v>
      </c>
      <c r="H960" s="5" t="s">
        <v>144</v>
      </c>
      <c r="I960" t="str">
        <f t="shared" si="62"/>
        <v>Andre Clouet Grande Reserve BrutNV</v>
      </c>
      <c r="J960">
        <f t="shared" si="60"/>
        <v>1</v>
      </c>
    </row>
    <row r="961" spans="1:10">
      <c r="A961" t="s">
        <v>1924</v>
      </c>
      <c r="B961" t="s">
        <v>1925</v>
      </c>
      <c r="C961" t="s">
        <v>144</v>
      </c>
      <c r="D961" t="str">
        <f t="shared" si="61"/>
        <v>Andre Clouet 'Un Jour de 1911' Brut (OCB6)NV</v>
      </c>
      <c r="E961">
        <f t="shared" si="59"/>
        <v>1</v>
      </c>
      <c r="F961" t="s">
        <v>1924</v>
      </c>
      <c r="G961" s="6" t="s">
        <v>2436</v>
      </c>
      <c r="H961" s="5" t="s">
        <v>144</v>
      </c>
      <c r="I961" t="str">
        <f t="shared" si="62"/>
        <v>Andre Clouet 'Un Jour de 1911' Brut (OCB6)NV</v>
      </c>
      <c r="J961">
        <f t="shared" si="60"/>
        <v>1</v>
      </c>
    </row>
    <row r="962" spans="1:10">
      <c r="A962" t="s">
        <v>1926</v>
      </c>
      <c r="B962" t="s">
        <v>1927</v>
      </c>
      <c r="C962" t="s">
        <v>222</v>
      </c>
      <c r="D962" t="str">
        <f t="shared" si="61"/>
        <v>Andre Clouet Brut Millesime2015</v>
      </c>
      <c r="E962">
        <f t="shared" si="59"/>
        <v>1</v>
      </c>
      <c r="F962" t="s">
        <v>1926</v>
      </c>
      <c r="G962" s="6" t="s">
        <v>1927</v>
      </c>
      <c r="H962" s="5" t="s">
        <v>222</v>
      </c>
      <c r="I962" t="str">
        <f t="shared" si="62"/>
        <v>Andre Clouet Brut Millesime2015</v>
      </c>
      <c r="J962">
        <f t="shared" si="60"/>
        <v>1</v>
      </c>
    </row>
    <row r="963" spans="1:10">
      <c r="A963" t="s">
        <v>1928</v>
      </c>
      <c r="B963" t="s">
        <v>1901</v>
      </c>
      <c r="C963" t="s">
        <v>118</v>
      </c>
      <c r="D963" t="str">
        <f t="shared" si="61"/>
        <v>Andre Clouet 'Dream Vintage' Brut2018</v>
      </c>
      <c r="E963">
        <f t="shared" ref="E963:E1026" si="63">IF(A963=F963,1,0)</f>
        <v>1</v>
      </c>
      <c r="F963" t="s">
        <v>1928</v>
      </c>
      <c r="G963" s="6" t="s">
        <v>1901</v>
      </c>
      <c r="H963" s="5" t="s">
        <v>118</v>
      </c>
      <c r="I963" t="str">
        <f t="shared" si="62"/>
        <v>Andre Clouet 'Dream Vintage' Brut2018</v>
      </c>
      <c r="J963">
        <f t="shared" ref="J963:J1026" si="64">IF(D963=I963,1,0)</f>
        <v>1</v>
      </c>
    </row>
    <row r="964" spans="1:10">
      <c r="A964" t="s">
        <v>1929</v>
      </c>
      <c r="B964" t="s">
        <v>1930</v>
      </c>
      <c r="C964" t="s">
        <v>118</v>
      </c>
      <c r="D964" t="str">
        <f t="shared" si="61"/>
        <v>Marie Courtin 'Concordance' Blanc de Noirs Extra Brut2018</v>
      </c>
      <c r="E964">
        <f t="shared" si="63"/>
        <v>1</v>
      </c>
      <c r="F964" t="s">
        <v>1929</v>
      </c>
      <c r="G964" s="6" t="s">
        <v>1930</v>
      </c>
      <c r="H964" s="5" t="s">
        <v>118</v>
      </c>
      <c r="I964" t="str">
        <f t="shared" si="62"/>
        <v>Marie Courtin 'Concordance' Blanc de Noirs Extra Brut2018</v>
      </c>
      <c r="J964">
        <f t="shared" si="64"/>
        <v>1</v>
      </c>
    </row>
    <row r="965" spans="1:10">
      <c r="A965" t="s">
        <v>1931</v>
      </c>
      <c r="B965" t="s">
        <v>1932</v>
      </c>
      <c r="C965" t="s">
        <v>111</v>
      </c>
      <c r="D965" t="str">
        <f t="shared" si="61"/>
        <v>Taittinger 'Comtes de Champagne' Blanc de Blancs Brut2013</v>
      </c>
      <c r="E965">
        <f t="shared" si="63"/>
        <v>1</v>
      </c>
      <c r="F965" t="s">
        <v>1931</v>
      </c>
      <c r="G965" s="6" t="s">
        <v>1932</v>
      </c>
      <c r="H965" s="5" t="s">
        <v>111</v>
      </c>
      <c r="I965" t="str">
        <f t="shared" si="62"/>
        <v>Taittinger 'Comtes de Champagne' Blanc de Blancs Brut2013</v>
      </c>
      <c r="J965">
        <f t="shared" si="64"/>
        <v>1</v>
      </c>
    </row>
    <row r="966" spans="1:10">
      <c r="A966" t="s">
        <v>1933</v>
      </c>
      <c r="B966" t="s">
        <v>1919</v>
      </c>
      <c r="C966" t="s">
        <v>114</v>
      </c>
      <c r="D966" t="str">
        <f t="shared" si="61"/>
        <v>Varnier Fanniere Vintage Brut Grand Cru 2014</v>
      </c>
      <c r="E966">
        <f t="shared" si="63"/>
        <v>1</v>
      </c>
      <c r="F966" t="s">
        <v>1933</v>
      </c>
      <c r="G966" s="6" t="s">
        <v>1919</v>
      </c>
      <c r="H966" s="5" t="s">
        <v>114</v>
      </c>
      <c r="I966" t="str">
        <f t="shared" si="62"/>
        <v>Varnier Fanniere Vintage Brut Grand Cru 2014</v>
      </c>
      <c r="J966">
        <f t="shared" si="64"/>
        <v>1</v>
      </c>
    </row>
    <row r="967" spans="1:10">
      <c r="A967" t="s">
        <v>1934</v>
      </c>
      <c r="B967" t="s">
        <v>1927</v>
      </c>
      <c r="C967" t="s">
        <v>129</v>
      </c>
      <c r="D967" t="str">
        <f t="shared" ref="D967:D1030" si="65">B967&amp;C967</f>
        <v>Andre Clouet Brut Millesime2016</v>
      </c>
      <c r="E967">
        <f t="shared" si="63"/>
        <v>1</v>
      </c>
      <c r="F967" t="s">
        <v>1934</v>
      </c>
      <c r="G967" s="6" t="s">
        <v>1927</v>
      </c>
      <c r="H967" s="5" t="s">
        <v>129</v>
      </c>
      <c r="I967" t="str">
        <f t="shared" ref="I967:I1030" si="66">G967&amp;H967</f>
        <v>Andre Clouet Brut Millesime2016</v>
      </c>
      <c r="J967">
        <f t="shared" si="64"/>
        <v>1</v>
      </c>
    </row>
    <row r="968" spans="1:10">
      <c r="A968" t="s">
        <v>1935</v>
      </c>
      <c r="B968" t="s">
        <v>1936</v>
      </c>
      <c r="C968" t="s">
        <v>144</v>
      </c>
      <c r="D968" t="str">
        <f t="shared" si="65"/>
        <v>Andre Clouet Silver Blanc de Noirs Brut Nature Grand Cru NV</v>
      </c>
      <c r="E968">
        <f t="shared" si="63"/>
        <v>1</v>
      </c>
      <c r="F968" t="s">
        <v>1935</v>
      </c>
      <c r="G968" s="6" t="s">
        <v>2437</v>
      </c>
      <c r="H968" s="5" t="s">
        <v>144</v>
      </c>
      <c r="I968" t="str">
        <f t="shared" si="66"/>
        <v>Andre Clouet Silver Blanc de Noirs Brut Nature Grand Cru NV</v>
      </c>
      <c r="J968">
        <f t="shared" si="64"/>
        <v>1</v>
      </c>
    </row>
    <row r="969" spans="1:10">
      <c r="A969" t="s">
        <v>1937</v>
      </c>
      <c r="B969" t="s">
        <v>1930</v>
      </c>
      <c r="C969" t="s">
        <v>137</v>
      </c>
      <c r="D969" t="str">
        <f t="shared" si="65"/>
        <v>Marie Courtin 'Concordance' Blanc de Noirs Extra Brut2017</v>
      </c>
      <c r="E969">
        <f t="shared" si="63"/>
        <v>1</v>
      </c>
      <c r="F969" t="s">
        <v>1937</v>
      </c>
      <c r="G969" s="6" t="s">
        <v>1930</v>
      </c>
      <c r="H969" s="5" t="s">
        <v>137</v>
      </c>
      <c r="I969" t="str">
        <f t="shared" si="66"/>
        <v>Marie Courtin 'Concordance' Blanc de Noirs Extra Brut2017</v>
      </c>
      <c r="J969">
        <f t="shared" si="64"/>
        <v>1</v>
      </c>
    </row>
    <row r="970" spans="1:10">
      <c r="A970" t="s">
        <v>1938</v>
      </c>
      <c r="B970" t="s">
        <v>1939</v>
      </c>
      <c r="C970" t="s">
        <v>172</v>
      </c>
      <c r="D970" t="str">
        <f t="shared" si="65"/>
        <v>Andre Clouet 'Le Clos' Bouzy Brut Grand Cru 2012</v>
      </c>
      <c r="E970">
        <f t="shared" si="63"/>
        <v>1</v>
      </c>
      <c r="F970" t="s">
        <v>1938</v>
      </c>
      <c r="G970" s="6" t="s">
        <v>2438</v>
      </c>
      <c r="H970" s="5" t="s">
        <v>172</v>
      </c>
      <c r="I970" t="str">
        <f t="shared" si="66"/>
        <v>Andre Clouet 'Le Clos' Bouzy Brut Grand Cru 2012</v>
      </c>
      <c r="J970">
        <f t="shared" si="64"/>
        <v>1</v>
      </c>
    </row>
    <row r="971" spans="1:10">
      <c r="A971" t="s">
        <v>1940</v>
      </c>
      <c r="B971" t="s">
        <v>1923</v>
      </c>
      <c r="C971" t="s">
        <v>144</v>
      </c>
      <c r="D971" t="str">
        <f t="shared" si="65"/>
        <v>Andre Clouet Grande Reserve BrutNV</v>
      </c>
      <c r="E971">
        <f t="shared" si="63"/>
        <v>1</v>
      </c>
      <c r="F971" t="s">
        <v>1940</v>
      </c>
      <c r="G971" s="6" t="s">
        <v>1923</v>
      </c>
      <c r="H971" s="5" t="s">
        <v>144</v>
      </c>
      <c r="I971" t="str">
        <f t="shared" si="66"/>
        <v>Andre Clouet Grande Reserve BrutNV</v>
      </c>
      <c r="J971">
        <f t="shared" si="64"/>
        <v>1</v>
      </c>
    </row>
    <row r="972" spans="1:10">
      <c r="A972" t="s">
        <v>1941</v>
      </c>
      <c r="B972" t="s">
        <v>1942</v>
      </c>
      <c r="C972" t="s">
        <v>144</v>
      </c>
      <c r="D972" t="str">
        <f t="shared" si="65"/>
        <v>Andre Clouet 'Spiritum 96' Rosé Grand CruNV</v>
      </c>
      <c r="E972">
        <f t="shared" si="63"/>
        <v>1</v>
      </c>
      <c r="F972" t="s">
        <v>1941</v>
      </c>
      <c r="G972" s="6" t="s">
        <v>2439</v>
      </c>
      <c r="H972" s="5" t="s">
        <v>144</v>
      </c>
      <c r="I972" t="str">
        <f t="shared" si="66"/>
        <v>Andre Clouet 'Spiritum 96' Rosé Grand CruNV</v>
      </c>
      <c r="J972">
        <f t="shared" si="64"/>
        <v>1</v>
      </c>
    </row>
    <row r="973" spans="1:10">
      <c r="A973" t="s">
        <v>1943</v>
      </c>
      <c r="B973" t="s">
        <v>1944</v>
      </c>
      <c r="C973" t="s">
        <v>144</v>
      </c>
      <c r="D973" t="str">
        <f t="shared" si="65"/>
        <v>Chavost 'Eurêka!' Brut NatureNV</v>
      </c>
      <c r="E973">
        <f t="shared" si="63"/>
        <v>1</v>
      </c>
      <c r="F973" t="s">
        <v>1943</v>
      </c>
      <c r="G973" s="6" t="s">
        <v>1944</v>
      </c>
      <c r="H973" s="5" t="s">
        <v>144</v>
      </c>
      <c r="I973" t="str">
        <f t="shared" si="66"/>
        <v>Chavost 'Eurêka!' Brut NatureNV</v>
      </c>
      <c r="J973">
        <f t="shared" si="64"/>
        <v>1</v>
      </c>
    </row>
    <row r="974" spans="1:10">
      <c r="A974" t="s">
        <v>1945</v>
      </c>
      <c r="B974" t="s">
        <v>1932</v>
      </c>
      <c r="C974" t="s">
        <v>111</v>
      </c>
      <c r="D974" t="str">
        <f t="shared" si="65"/>
        <v>Taittinger 'Comtes de Champagne' Blanc de Blancs Brut2013</v>
      </c>
      <c r="E974">
        <f t="shared" si="63"/>
        <v>1</v>
      </c>
      <c r="F974" t="s">
        <v>1945</v>
      </c>
      <c r="G974" s="6" t="s">
        <v>1932</v>
      </c>
      <c r="H974" s="5" t="s">
        <v>111</v>
      </c>
      <c r="I974" t="str">
        <f t="shared" si="66"/>
        <v>Taittinger 'Comtes de Champagne' Blanc de Blancs Brut2013</v>
      </c>
      <c r="J974">
        <f t="shared" si="64"/>
        <v>1</v>
      </c>
    </row>
    <row r="975" spans="1:10">
      <c r="A975" t="s">
        <v>1946</v>
      </c>
      <c r="B975" t="s">
        <v>1947</v>
      </c>
      <c r="C975" t="s">
        <v>92</v>
      </c>
      <c r="D975" t="str">
        <f t="shared" si="65"/>
        <v>Marie Courtin Blanc de Noirs Extra Brut2020</v>
      </c>
      <c r="E975">
        <f t="shared" si="63"/>
        <v>1</v>
      </c>
      <c r="F975" t="s">
        <v>1946</v>
      </c>
      <c r="G975" s="6" t="s">
        <v>1947</v>
      </c>
      <c r="H975" s="5" t="s">
        <v>92</v>
      </c>
      <c r="I975" t="str">
        <f t="shared" si="66"/>
        <v>Marie Courtin Blanc de Noirs Extra Brut2020</v>
      </c>
      <c r="J975">
        <f t="shared" si="64"/>
        <v>1</v>
      </c>
    </row>
    <row r="976" spans="1:10">
      <c r="A976" t="s">
        <v>1948</v>
      </c>
      <c r="B976" t="s">
        <v>1901</v>
      </c>
      <c r="C976" t="s">
        <v>273</v>
      </c>
      <c r="D976" t="str">
        <f t="shared" si="65"/>
        <v>Andre Clouet 'Dream Vintage' Brut2005</v>
      </c>
      <c r="E976">
        <f t="shared" si="63"/>
        <v>1</v>
      </c>
      <c r="F976" t="s">
        <v>1948</v>
      </c>
      <c r="G976" s="6" t="s">
        <v>1901</v>
      </c>
      <c r="H976" s="5" t="s">
        <v>273</v>
      </c>
      <c r="I976" t="str">
        <f t="shared" si="66"/>
        <v>Andre Clouet 'Dream Vintage' Brut2005</v>
      </c>
      <c r="J976">
        <f t="shared" si="64"/>
        <v>1</v>
      </c>
    </row>
    <row r="977" spans="1:10">
      <c r="A977" t="s">
        <v>1949</v>
      </c>
      <c r="B977" t="s">
        <v>1950</v>
      </c>
      <c r="C977" t="s">
        <v>137</v>
      </c>
      <c r="D977" t="str">
        <f t="shared" si="65"/>
        <v>Marie Courtin 'Efflorescence' Blanc de Noirs Extra Brut2017</v>
      </c>
      <c r="E977">
        <f t="shared" si="63"/>
        <v>1</v>
      </c>
      <c r="F977" t="s">
        <v>1949</v>
      </c>
      <c r="G977" s="6" t="s">
        <v>1950</v>
      </c>
      <c r="H977" s="5" t="s">
        <v>137</v>
      </c>
      <c r="I977" t="str">
        <f t="shared" si="66"/>
        <v>Marie Courtin 'Efflorescence' Blanc de Noirs Extra Brut2017</v>
      </c>
      <c r="J977">
        <f t="shared" si="64"/>
        <v>1</v>
      </c>
    </row>
    <row r="978" spans="1:10">
      <c r="A978" t="s">
        <v>1951</v>
      </c>
      <c r="B978" t="s">
        <v>1952</v>
      </c>
      <c r="C978" t="s">
        <v>144</v>
      </c>
      <c r="D978" t="str">
        <f t="shared" si="65"/>
        <v>Varnier Fanniere Brut Grand CruNV</v>
      </c>
      <c r="E978">
        <f t="shared" si="63"/>
        <v>1</v>
      </c>
      <c r="F978" t="s">
        <v>1951</v>
      </c>
      <c r="G978" s="6" t="s">
        <v>1952</v>
      </c>
      <c r="H978" s="5" t="s">
        <v>144</v>
      </c>
      <c r="I978" t="str">
        <f t="shared" si="66"/>
        <v>Varnier Fanniere Brut Grand CruNV</v>
      </c>
      <c r="J978">
        <f t="shared" si="64"/>
        <v>1</v>
      </c>
    </row>
    <row r="979" spans="1:10">
      <c r="A979" t="s">
        <v>1953</v>
      </c>
      <c r="B979" t="s">
        <v>1954</v>
      </c>
      <c r="C979" t="s">
        <v>129</v>
      </c>
      <c r="D979" t="str">
        <f t="shared" si="65"/>
        <v>Marie Courtin 'Presence' Blanc de Noirs Extra Brut2016</v>
      </c>
      <c r="E979">
        <f t="shared" si="63"/>
        <v>1</v>
      </c>
      <c r="F979" t="s">
        <v>1953</v>
      </c>
      <c r="G979" s="6" t="s">
        <v>1954</v>
      </c>
      <c r="H979" s="5" t="s">
        <v>129</v>
      </c>
      <c r="I979" t="str">
        <f t="shared" si="66"/>
        <v>Marie Courtin 'Presence' Blanc de Noirs Extra Brut2016</v>
      </c>
      <c r="J979">
        <f t="shared" si="64"/>
        <v>1</v>
      </c>
    </row>
    <row r="980" spans="1:10">
      <c r="A980" t="s">
        <v>1955</v>
      </c>
      <c r="B980" t="s">
        <v>1897</v>
      </c>
      <c r="C980" t="s">
        <v>144</v>
      </c>
      <c r="D980" t="str">
        <f t="shared" si="65"/>
        <v>Andre Clouet Grande Reserve Brut NV</v>
      </c>
      <c r="E980">
        <f t="shared" si="63"/>
        <v>1</v>
      </c>
      <c r="F980" t="s">
        <v>1955</v>
      </c>
      <c r="G980" s="6" t="s">
        <v>1897</v>
      </c>
      <c r="H980" s="5" t="s">
        <v>144</v>
      </c>
      <c r="I980" t="str">
        <f t="shared" si="66"/>
        <v>Andre Clouet Grande Reserve Brut NV</v>
      </c>
      <c r="J980">
        <f t="shared" si="64"/>
        <v>1</v>
      </c>
    </row>
    <row r="981" spans="1:10">
      <c r="A981" t="s">
        <v>1956</v>
      </c>
      <c r="B981" t="s">
        <v>1957</v>
      </c>
      <c r="C981" t="s">
        <v>222</v>
      </c>
      <c r="D981" t="str">
        <f t="shared" si="65"/>
        <v>Deutz 'Amour de Deutz' Blanc de Blancs Brut Millesime (Giftbox)2015</v>
      </c>
      <c r="E981">
        <f t="shared" si="63"/>
        <v>1</v>
      </c>
      <c r="F981" t="s">
        <v>1956</v>
      </c>
      <c r="G981" s="6" t="s">
        <v>1957</v>
      </c>
      <c r="H981" s="5" t="s">
        <v>222</v>
      </c>
      <c r="I981" t="str">
        <f t="shared" si="66"/>
        <v>Deutz 'Amour de Deutz' Blanc de Blancs Brut Millesime (Giftbox)2015</v>
      </c>
      <c r="J981">
        <f t="shared" si="64"/>
        <v>1</v>
      </c>
    </row>
    <row r="982" spans="1:10">
      <c r="A982" t="s">
        <v>1958</v>
      </c>
      <c r="B982" t="s">
        <v>1954</v>
      </c>
      <c r="C982" t="s">
        <v>81</v>
      </c>
      <c r="D982" t="str">
        <f t="shared" si="65"/>
        <v>Marie Courtin 'Presence' Blanc de Noirs Extra Brut2019</v>
      </c>
      <c r="E982">
        <f t="shared" si="63"/>
        <v>1</v>
      </c>
      <c r="F982" t="s">
        <v>1958</v>
      </c>
      <c r="G982" s="6" t="s">
        <v>1954</v>
      </c>
      <c r="H982" s="5" t="s">
        <v>81</v>
      </c>
      <c r="I982" t="str">
        <f t="shared" si="66"/>
        <v>Marie Courtin 'Presence' Blanc de Noirs Extra Brut2019</v>
      </c>
      <c r="J982">
        <f t="shared" si="64"/>
        <v>1</v>
      </c>
    </row>
    <row r="983" spans="1:10">
      <c r="A983" t="s">
        <v>1959</v>
      </c>
      <c r="B983" t="s">
        <v>1960</v>
      </c>
      <c r="C983" t="s">
        <v>144</v>
      </c>
      <c r="D983" t="str">
        <f t="shared" si="65"/>
        <v>Varnier Fanniere Brut Zero Grand CruNV</v>
      </c>
      <c r="E983">
        <f t="shared" si="63"/>
        <v>1</v>
      </c>
      <c r="F983" t="s">
        <v>1959</v>
      </c>
      <c r="G983" s="6" t="s">
        <v>1960</v>
      </c>
      <c r="H983" s="5" t="s">
        <v>144</v>
      </c>
      <c r="I983" t="str">
        <f t="shared" si="66"/>
        <v>Varnier Fanniere Brut Zero Grand CruNV</v>
      </c>
      <c r="J983">
        <f t="shared" si="64"/>
        <v>1</v>
      </c>
    </row>
    <row r="984" spans="1:10">
      <c r="A984" t="s">
        <v>1961</v>
      </c>
      <c r="B984" t="s">
        <v>1962</v>
      </c>
      <c r="C984" t="s">
        <v>425</v>
      </c>
      <c r="D984" t="str">
        <f t="shared" si="65"/>
        <v>Bollinger R.D. Extra Brut2002</v>
      </c>
      <c r="E984">
        <f t="shared" si="63"/>
        <v>1</v>
      </c>
      <c r="F984" t="s">
        <v>1961</v>
      </c>
      <c r="G984" s="6" t="s">
        <v>2440</v>
      </c>
      <c r="H984" s="5" t="s">
        <v>425</v>
      </c>
      <c r="I984" t="str">
        <f t="shared" si="66"/>
        <v>Bollinger R.D. Extra Brut2002</v>
      </c>
      <c r="J984">
        <f t="shared" si="64"/>
        <v>1</v>
      </c>
    </row>
    <row r="985" spans="1:10">
      <c r="A985" t="s">
        <v>1963</v>
      </c>
      <c r="B985" t="s">
        <v>1930</v>
      </c>
      <c r="C985" t="s">
        <v>129</v>
      </c>
      <c r="D985" t="str">
        <f t="shared" si="65"/>
        <v>Marie Courtin 'Concordance' Blanc de Noirs Extra Brut2016</v>
      </c>
      <c r="E985">
        <f t="shared" si="63"/>
        <v>1</v>
      </c>
      <c r="F985" t="s">
        <v>1963</v>
      </c>
      <c r="G985" s="6" t="s">
        <v>1930</v>
      </c>
      <c r="H985" s="5" t="s">
        <v>129</v>
      </c>
      <c r="I985" t="str">
        <f t="shared" si="66"/>
        <v>Marie Courtin 'Concordance' Blanc de Noirs Extra Brut2016</v>
      </c>
      <c r="J985">
        <f t="shared" si="64"/>
        <v>1</v>
      </c>
    </row>
    <row r="986" spans="1:10">
      <c r="A986" t="s">
        <v>1964</v>
      </c>
      <c r="B986" t="s">
        <v>421</v>
      </c>
      <c r="C986" t="s">
        <v>125</v>
      </c>
      <c r="D986" t="str">
        <f t="shared" si="65"/>
        <v>Dom Pérignon Brut2008</v>
      </c>
      <c r="E986">
        <f t="shared" si="63"/>
        <v>1</v>
      </c>
      <c r="F986" t="s">
        <v>1964</v>
      </c>
      <c r="G986" s="6" t="s">
        <v>421</v>
      </c>
      <c r="H986" s="5" t="s">
        <v>125</v>
      </c>
      <c r="I986" t="str">
        <f t="shared" si="66"/>
        <v>Dom Pérignon Brut2008</v>
      </c>
      <c r="J986">
        <f t="shared" si="64"/>
        <v>1</v>
      </c>
    </row>
    <row r="987" spans="1:10">
      <c r="A987" t="s">
        <v>1965</v>
      </c>
      <c r="B987" t="s">
        <v>1923</v>
      </c>
      <c r="C987" t="s">
        <v>144</v>
      </c>
      <c r="D987" t="str">
        <f t="shared" si="65"/>
        <v>Andre Clouet Grande Reserve BrutNV</v>
      </c>
      <c r="E987">
        <f t="shared" si="63"/>
        <v>1</v>
      </c>
      <c r="F987" t="s">
        <v>1965</v>
      </c>
      <c r="G987" s="6" t="s">
        <v>1923</v>
      </c>
      <c r="H987" s="5" t="s">
        <v>144</v>
      </c>
      <c r="I987" t="str">
        <f t="shared" si="66"/>
        <v>Andre Clouet Grande Reserve BrutNV</v>
      </c>
      <c r="J987">
        <f t="shared" si="64"/>
        <v>1</v>
      </c>
    </row>
    <row r="988" spans="1:10">
      <c r="A988" t="s">
        <v>1966</v>
      </c>
      <c r="B988" t="s">
        <v>1967</v>
      </c>
      <c r="C988" t="s">
        <v>125</v>
      </c>
      <c r="D988" t="str">
        <f t="shared" si="65"/>
        <v>Krug Vintage Brut2008</v>
      </c>
      <c r="E988">
        <f t="shared" si="63"/>
        <v>1</v>
      </c>
      <c r="F988" t="s">
        <v>1966</v>
      </c>
      <c r="G988" s="6" t="s">
        <v>1967</v>
      </c>
      <c r="H988" s="5" t="s">
        <v>125</v>
      </c>
      <c r="I988" t="str">
        <f t="shared" si="66"/>
        <v>Krug Vintage Brut2008</v>
      </c>
      <c r="J988">
        <f t="shared" si="64"/>
        <v>1</v>
      </c>
    </row>
    <row r="989" spans="1:10">
      <c r="A989" t="s">
        <v>1968</v>
      </c>
      <c r="B989" t="s">
        <v>1969</v>
      </c>
      <c r="C989" t="s">
        <v>289</v>
      </c>
      <c r="D989" t="str">
        <f t="shared" si="65"/>
        <v>Goutorbe-Bouillot 'Retrospective 80-15' Extra Brut (Disgorged June 2023)2023</v>
      </c>
      <c r="E989">
        <f t="shared" si="63"/>
        <v>1</v>
      </c>
      <c r="F989" t="s">
        <v>1968</v>
      </c>
      <c r="G989" s="6" t="s">
        <v>1969</v>
      </c>
      <c r="H989" s="5" t="s">
        <v>289</v>
      </c>
      <c r="I989" t="str">
        <f t="shared" si="66"/>
        <v>Goutorbe-Bouillot 'Retrospective 80-15' Extra Brut (Disgorged June 2023)2023</v>
      </c>
      <c r="J989">
        <f t="shared" si="64"/>
        <v>1</v>
      </c>
    </row>
    <row r="990" spans="1:10">
      <c r="A990" t="s">
        <v>1970</v>
      </c>
      <c r="B990" t="s">
        <v>1971</v>
      </c>
      <c r="C990" t="s">
        <v>695</v>
      </c>
      <c r="D990" t="str">
        <f t="shared" si="65"/>
        <v>Pommery Royal Grand Cru Brut Millesime1990</v>
      </c>
      <c r="E990">
        <f t="shared" si="63"/>
        <v>1</v>
      </c>
      <c r="F990" t="s">
        <v>1970</v>
      </c>
      <c r="G990" s="6" t="s">
        <v>1971</v>
      </c>
      <c r="H990" s="5" t="s">
        <v>695</v>
      </c>
      <c r="I990" t="str">
        <f t="shared" si="66"/>
        <v>Pommery Royal Grand Cru Brut Millesime1990</v>
      </c>
      <c r="J990">
        <f t="shared" si="64"/>
        <v>1</v>
      </c>
    </row>
    <row r="991" spans="1:10">
      <c r="A991" t="s">
        <v>1972</v>
      </c>
      <c r="B991" t="s">
        <v>1973</v>
      </c>
      <c r="C991" t="s">
        <v>144</v>
      </c>
      <c r="D991" t="str">
        <f t="shared" si="65"/>
        <v>Varnier Fanniere 'Cuvee Saint Denis' Brut Grand Cru NV</v>
      </c>
      <c r="E991">
        <f t="shared" si="63"/>
        <v>1</v>
      </c>
      <c r="F991" t="s">
        <v>1972</v>
      </c>
      <c r="G991" s="6" t="s">
        <v>1973</v>
      </c>
      <c r="H991" s="5" t="s">
        <v>144</v>
      </c>
      <c r="I991" t="str">
        <f t="shared" si="66"/>
        <v>Varnier Fanniere 'Cuvee Saint Denis' Brut Grand Cru NV</v>
      </c>
      <c r="J991">
        <f t="shared" si="64"/>
        <v>1</v>
      </c>
    </row>
    <row r="992" spans="1:10">
      <c r="A992" t="s">
        <v>1974</v>
      </c>
      <c r="B992" t="s">
        <v>1936</v>
      </c>
      <c r="C992" t="s">
        <v>144</v>
      </c>
      <c r="D992" t="str">
        <f t="shared" si="65"/>
        <v>Andre Clouet Silver Blanc de Noirs Brut Nature Grand Cru NV</v>
      </c>
      <c r="E992">
        <f t="shared" si="63"/>
        <v>1</v>
      </c>
      <c r="F992" t="s">
        <v>1974</v>
      </c>
      <c r="G992" s="6" t="s">
        <v>2437</v>
      </c>
      <c r="H992" s="5" t="s">
        <v>144</v>
      </c>
      <c r="I992" t="str">
        <f t="shared" si="66"/>
        <v>Andre Clouet Silver Blanc de Noirs Brut Nature Grand Cru NV</v>
      </c>
      <c r="J992">
        <f t="shared" si="64"/>
        <v>1</v>
      </c>
    </row>
    <row r="993" spans="1:10">
      <c r="A993" t="s">
        <v>1975</v>
      </c>
      <c r="B993" t="s">
        <v>1976</v>
      </c>
      <c r="C993" t="s">
        <v>111</v>
      </c>
      <c r="D993" t="str">
        <f t="shared" si="65"/>
        <v>Moët &amp; Chandon Grand Vintage Brut2013</v>
      </c>
      <c r="E993">
        <f t="shared" si="63"/>
        <v>1</v>
      </c>
      <c r="F993" t="s">
        <v>1975</v>
      </c>
      <c r="G993" s="6" t="s">
        <v>1976</v>
      </c>
      <c r="H993" s="5" t="s">
        <v>111</v>
      </c>
      <c r="I993" t="str">
        <f t="shared" si="66"/>
        <v>Moët &amp; Chandon Grand Vintage Brut2013</v>
      </c>
      <c r="J993">
        <f t="shared" si="64"/>
        <v>1</v>
      </c>
    </row>
    <row r="994" spans="1:10">
      <c r="A994" t="s">
        <v>1977</v>
      </c>
      <c r="B994" t="s">
        <v>1978</v>
      </c>
      <c r="C994" t="s">
        <v>144</v>
      </c>
      <c r="D994" t="str">
        <f t="shared" si="65"/>
        <v>Fonseca 10 Year Old Tawny PortNV</v>
      </c>
      <c r="E994">
        <f t="shared" si="63"/>
        <v>1</v>
      </c>
      <c r="F994" t="s">
        <v>1977</v>
      </c>
      <c r="G994" s="6" t="s">
        <v>1978</v>
      </c>
      <c r="H994" s="5" t="s">
        <v>144</v>
      </c>
      <c r="I994" t="str">
        <f t="shared" si="66"/>
        <v>Fonseca 10 Year Old Tawny PortNV</v>
      </c>
      <c r="J994">
        <f t="shared" si="64"/>
        <v>1</v>
      </c>
    </row>
    <row r="995" spans="1:10">
      <c r="A995" t="s">
        <v>1979</v>
      </c>
      <c r="B995" t="s">
        <v>1980</v>
      </c>
      <c r="C995" t="s">
        <v>144</v>
      </c>
      <c r="D995" t="str">
        <f t="shared" si="65"/>
        <v>Fonseca 20 Year Old Tawny PortNV</v>
      </c>
      <c r="E995">
        <f t="shared" si="63"/>
        <v>1</v>
      </c>
      <c r="F995" t="s">
        <v>1979</v>
      </c>
      <c r="G995" s="6" t="s">
        <v>1980</v>
      </c>
      <c r="H995" s="5" t="s">
        <v>144</v>
      </c>
      <c r="I995" t="str">
        <f t="shared" si="66"/>
        <v>Fonseca 20 Year Old Tawny PortNV</v>
      </c>
      <c r="J995">
        <f t="shared" si="64"/>
        <v>1</v>
      </c>
    </row>
    <row r="996" spans="1:10">
      <c r="A996" t="s">
        <v>1981</v>
      </c>
      <c r="B996" t="s">
        <v>1982</v>
      </c>
      <c r="C996" t="s">
        <v>129</v>
      </c>
      <c r="D996" t="str">
        <f t="shared" si="65"/>
        <v>Fonseca Late Bottled Vintage Port2016</v>
      </c>
      <c r="E996">
        <f t="shared" si="63"/>
        <v>1</v>
      </c>
      <c r="F996" t="s">
        <v>1981</v>
      </c>
      <c r="G996" s="6" t="s">
        <v>1982</v>
      </c>
      <c r="H996" s="5" t="s">
        <v>129</v>
      </c>
      <c r="I996" t="str">
        <f t="shared" si="66"/>
        <v>Fonseca Late Bottled Vintage Port2016</v>
      </c>
      <c r="J996">
        <f t="shared" si="64"/>
        <v>1</v>
      </c>
    </row>
    <row r="997" spans="1:10">
      <c r="A997" t="s">
        <v>1983</v>
      </c>
      <c r="B997" t="s">
        <v>1984</v>
      </c>
      <c r="C997" t="s">
        <v>137</v>
      </c>
      <c r="D997" t="str">
        <f t="shared" si="65"/>
        <v>W &amp; J Graham's 'The Stone Terraces' Vintage Port2017</v>
      </c>
      <c r="E997">
        <f t="shared" si="63"/>
        <v>1</v>
      </c>
      <c r="F997" t="s">
        <v>1983</v>
      </c>
      <c r="G997" s="6" t="s">
        <v>1984</v>
      </c>
      <c r="H997" s="5" t="s">
        <v>137</v>
      </c>
      <c r="I997" t="str">
        <f t="shared" si="66"/>
        <v>W &amp; J Graham's 'The Stone Terraces' Vintage Port2017</v>
      </c>
      <c r="J997">
        <f t="shared" si="64"/>
        <v>1</v>
      </c>
    </row>
    <row r="998" spans="1:10">
      <c r="A998" t="s">
        <v>1985</v>
      </c>
      <c r="B998" t="s">
        <v>1986</v>
      </c>
      <c r="C998" t="s">
        <v>1987</v>
      </c>
      <c r="D998" t="str">
        <f t="shared" si="65"/>
        <v>Niepoort Vintage Port1931</v>
      </c>
      <c r="E998">
        <f t="shared" si="63"/>
        <v>1</v>
      </c>
      <c r="F998" t="s">
        <v>1985</v>
      </c>
      <c r="G998" s="6" t="s">
        <v>1986</v>
      </c>
      <c r="H998" s="5" t="s">
        <v>1987</v>
      </c>
      <c r="I998" t="str">
        <f t="shared" si="66"/>
        <v>Niepoort Vintage Port1931</v>
      </c>
      <c r="J998">
        <f t="shared" si="64"/>
        <v>1</v>
      </c>
    </row>
    <row r="999" spans="1:10">
      <c r="A999" t="s">
        <v>1988</v>
      </c>
      <c r="B999" t="s">
        <v>1989</v>
      </c>
      <c r="C999" t="s">
        <v>30</v>
      </c>
      <c r="D999" t="str">
        <f t="shared" si="65"/>
        <v>Dominio de Pingus 'PSI' Ribera del Duero2022</v>
      </c>
      <c r="E999">
        <f t="shared" si="63"/>
        <v>1</v>
      </c>
      <c r="F999" t="s">
        <v>1988</v>
      </c>
      <c r="G999" s="6" t="s">
        <v>1989</v>
      </c>
      <c r="H999" s="5" t="s">
        <v>30</v>
      </c>
      <c r="I999" t="str">
        <f t="shared" si="66"/>
        <v>Dominio de Pingus 'PSI' Ribera del Duero2022</v>
      </c>
      <c r="J999">
        <f t="shared" si="64"/>
        <v>1</v>
      </c>
    </row>
    <row r="1000" spans="1:10">
      <c r="A1000" t="s">
        <v>1990</v>
      </c>
      <c r="B1000" t="s">
        <v>1991</v>
      </c>
      <c r="C1000" t="s">
        <v>30</v>
      </c>
      <c r="D1000" t="str">
        <f t="shared" si="65"/>
        <v>AJ Vaona Bourgogne Pinot Noir 2022</v>
      </c>
      <c r="E1000">
        <f t="shared" si="63"/>
        <v>1</v>
      </c>
      <c r="F1000" t="s">
        <v>1990</v>
      </c>
      <c r="G1000" s="6" t="s">
        <v>1991</v>
      </c>
      <c r="H1000" s="5" t="s">
        <v>30</v>
      </c>
      <c r="I1000" t="str">
        <f t="shared" si="66"/>
        <v>AJ Vaona Bourgogne Pinot Noir 2022</v>
      </c>
      <c r="J1000">
        <f t="shared" si="64"/>
        <v>1</v>
      </c>
    </row>
    <row r="1001" spans="1:10">
      <c r="A1001" t="s">
        <v>1992</v>
      </c>
      <c r="B1001" t="s">
        <v>1993</v>
      </c>
      <c r="C1001" t="s">
        <v>92</v>
      </c>
      <c r="D1001" t="str">
        <f t="shared" si="65"/>
        <v>Château Lafont-Fourcat2020</v>
      </c>
      <c r="E1001">
        <f t="shared" si="63"/>
        <v>1</v>
      </c>
      <c r="F1001" t="s">
        <v>1992</v>
      </c>
      <c r="G1001" s="6" t="s">
        <v>1993</v>
      </c>
      <c r="H1001" s="5" t="s">
        <v>92</v>
      </c>
      <c r="I1001" t="str">
        <f t="shared" si="66"/>
        <v>Château Lafont-Fourcat2020</v>
      </c>
      <c r="J1001">
        <f t="shared" si="64"/>
        <v>1</v>
      </c>
    </row>
    <row r="1002" spans="1:10">
      <c r="A1002" t="s">
        <v>1994</v>
      </c>
      <c r="B1002" t="s">
        <v>1995</v>
      </c>
      <c r="C1002" t="s">
        <v>56</v>
      </c>
      <c r="D1002" t="str">
        <f t="shared" si="65"/>
        <v>Agricola Gianpiero Marrone Barbaresco DOCG2021</v>
      </c>
      <c r="E1002">
        <f t="shared" si="63"/>
        <v>1</v>
      </c>
      <c r="F1002" t="s">
        <v>1994</v>
      </c>
      <c r="G1002" s="6" t="s">
        <v>1995</v>
      </c>
      <c r="H1002" s="5" t="s">
        <v>56</v>
      </c>
      <c r="I1002" t="str">
        <f t="shared" si="66"/>
        <v>Agricola Gianpiero Marrone Barbaresco DOCG2021</v>
      </c>
      <c r="J1002">
        <f t="shared" si="64"/>
        <v>1</v>
      </c>
    </row>
    <row r="1003" spans="1:10">
      <c r="A1003" t="s">
        <v>1996</v>
      </c>
      <c r="B1003" t="s">
        <v>1997</v>
      </c>
      <c r="C1003" t="s">
        <v>222</v>
      </c>
      <c r="D1003" t="str">
        <f t="shared" si="65"/>
        <v>Château Lorieu2015</v>
      </c>
      <c r="E1003">
        <f t="shared" si="63"/>
        <v>1</v>
      </c>
      <c r="F1003" t="s">
        <v>1996</v>
      </c>
      <c r="G1003" s="6" t="s">
        <v>1997</v>
      </c>
      <c r="H1003" s="5" t="s">
        <v>222</v>
      </c>
      <c r="I1003" t="str">
        <f t="shared" si="66"/>
        <v>Château Lorieu2015</v>
      </c>
      <c r="J1003">
        <f t="shared" si="64"/>
        <v>1</v>
      </c>
    </row>
    <row r="1004" spans="1:10">
      <c r="A1004" t="s">
        <v>1998</v>
      </c>
      <c r="B1004" t="s">
        <v>1999</v>
      </c>
      <c r="C1004" t="s">
        <v>289</v>
      </c>
      <c r="D1004" t="str">
        <f t="shared" si="65"/>
        <v>Bruno Giacosa Nebbiolo d'Alba2023</v>
      </c>
      <c r="E1004">
        <f t="shared" si="63"/>
        <v>1</v>
      </c>
      <c r="F1004" t="s">
        <v>1998</v>
      </c>
      <c r="G1004" s="6" t="s">
        <v>2441</v>
      </c>
      <c r="H1004" s="5" t="s">
        <v>289</v>
      </c>
      <c r="I1004" t="str">
        <f t="shared" si="66"/>
        <v>Bruno Giacosa Nebbiolo d'Alba2023</v>
      </c>
      <c r="J1004">
        <f t="shared" si="64"/>
        <v>1</v>
      </c>
    </row>
    <row r="1005" spans="1:10">
      <c r="A1005" t="s">
        <v>2000</v>
      </c>
      <c r="B1005" t="s">
        <v>2001</v>
      </c>
      <c r="C1005" t="s">
        <v>1537</v>
      </c>
      <c r="D1005" t="str">
        <f t="shared" si="65"/>
        <v>Bruno Giacosa Dolcetto d'Alba2024</v>
      </c>
      <c r="E1005">
        <f t="shared" si="63"/>
        <v>1</v>
      </c>
      <c r="F1005" t="s">
        <v>2000</v>
      </c>
      <c r="G1005" s="6" t="s">
        <v>2442</v>
      </c>
      <c r="H1005" s="5" t="s">
        <v>1537</v>
      </c>
      <c r="I1005" t="str">
        <f t="shared" si="66"/>
        <v>Bruno Giacosa Dolcetto d'Alba2024</v>
      </c>
      <c r="J1005">
        <f t="shared" si="64"/>
        <v>1</v>
      </c>
    </row>
    <row r="1006" spans="1:10">
      <c r="A1006" t="s">
        <v>2002</v>
      </c>
      <c r="B1006" t="s">
        <v>2003</v>
      </c>
      <c r="C1006" t="s">
        <v>30</v>
      </c>
      <c r="D1006" t="str">
        <f t="shared" si="65"/>
        <v>Château Ducru-Beaucaillou 'Madame de Beaucaillou'2022</v>
      </c>
      <c r="E1006">
        <f t="shared" si="63"/>
        <v>1</v>
      </c>
      <c r="F1006" t="s">
        <v>2002</v>
      </c>
      <c r="G1006" s="6" t="s">
        <v>2003</v>
      </c>
      <c r="H1006" s="5" t="s">
        <v>30</v>
      </c>
      <c r="I1006" t="str">
        <f t="shared" si="66"/>
        <v>Château Ducru-Beaucaillou 'Madame de Beaucaillou'2022</v>
      </c>
      <c r="J1006">
        <f t="shared" si="64"/>
        <v>1</v>
      </c>
    </row>
    <row r="1007" spans="1:10">
      <c r="A1007" t="s">
        <v>2004</v>
      </c>
      <c r="B1007" t="s">
        <v>2005</v>
      </c>
      <c r="C1007" t="s">
        <v>118</v>
      </c>
      <c r="D1007" t="str">
        <f t="shared" si="65"/>
        <v>Château Senejac2018</v>
      </c>
      <c r="E1007">
        <f t="shared" si="63"/>
        <v>1</v>
      </c>
      <c r="F1007" t="s">
        <v>2004</v>
      </c>
      <c r="G1007" s="6" t="s">
        <v>2005</v>
      </c>
      <c r="H1007" s="5" t="s">
        <v>118</v>
      </c>
      <c r="I1007" t="str">
        <f t="shared" si="66"/>
        <v>Château Senejac2018</v>
      </c>
      <c r="J1007">
        <f t="shared" si="64"/>
        <v>1</v>
      </c>
    </row>
    <row r="1008" spans="1:10">
      <c r="A1008" t="s">
        <v>2006</v>
      </c>
      <c r="B1008" t="s">
        <v>2007</v>
      </c>
      <c r="C1008" t="s">
        <v>92</v>
      </c>
      <c r="D1008" t="str">
        <f t="shared" si="65"/>
        <v>Conti Costanti Brunello di Montalcino DOCG2020</v>
      </c>
      <c r="E1008">
        <f t="shared" si="63"/>
        <v>1</v>
      </c>
      <c r="F1008" t="s">
        <v>2006</v>
      </c>
      <c r="G1008" s="6" t="s">
        <v>2007</v>
      </c>
      <c r="H1008" s="5" t="s">
        <v>92</v>
      </c>
      <c r="I1008" t="str">
        <f t="shared" si="66"/>
        <v>Conti Costanti Brunello di Montalcino DOCG2020</v>
      </c>
      <c r="J1008">
        <f t="shared" si="64"/>
        <v>1</v>
      </c>
    </row>
    <row r="1009" spans="1:10">
      <c r="A1009" t="s">
        <v>2008</v>
      </c>
      <c r="B1009" t="s">
        <v>2009</v>
      </c>
      <c r="C1009" t="s">
        <v>222</v>
      </c>
      <c r="D1009" t="str">
        <f t="shared" si="65"/>
        <v>Bouchard Pere &amp; Fils Cote de Nuits-Villages2015</v>
      </c>
      <c r="E1009">
        <f t="shared" si="63"/>
        <v>1</v>
      </c>
      <c r="F1009" t="s">
        <v>2008</v>
      </c>
      <c r="G1009" s="6" t="s">
        <v>2443</v>
      </c>
      <c r="H1009" s="5" t="s">
        <v>222</v>
      </c>
      <c r="I1009" t="str">
        <f t="shared" si="66"/>
        <v>Bouchard Pere &amp; Fils Cote de Nuits-Villages2015</v>
      </c>
      <c r="J1009">
        <f t="shared" si="64"/>
        <v>1</v>
      </c>
    </row>
    <row r="1010" spans="1:10">
      <c r="A1010" t="s">
        <v>2010</v>
      </c>
      <c r="B1010" t="s">
        <v>2011</v>
      </c>
      <c r="C1010" t="s">
        <v>289</v>
      </c>
      <c r="D1010" t="str">
        <f t="shared" si="65"/>
        <v>Bruno Giacosa Barbera d'Alba2023</v>
      </c>
      <c r="E1010">
        <f t="shared" si="63"/>
        <v>1</v>
      </c>
      <c r="F1010" t="s">
        <v>2010</v>
      </c>
      <c r="G1010" s="6" t="s">
        <v>2444</v>
      </c>
      <c r="H1010" s="5" t="s">
        <v>289</v>
      </c>
      <c r="I1010" t="str">
        <f t="shared" si="66"/>
        <v>Bruno Giacosa Barbera d'Alba2023</v>
      </c>
      <c r="J1010">
        <f t="shared" si="64"/>
        <v>1</v>
      </c>
    </row>
    <row r="1011" spans="1:10">
      <c r="A1011" t="s">
        <v>2012</v>
      </c>
      <c r="B1011" t="s">
        <v>2013</v>
      </c>
      <c r="C1011" t="s">
        <v>289</v>
      </c>
      <c r="D1011" t="str">
        <f t="shared" si="65"/>
        <v>Conti Costanti Rosso di Montalcino2023</v>
      </c>
      <c r="E1011">
        <f t="shared" si="63"/>
        <v>1</v>
      </c>
      <c r="F1011" t="s">
        <v>2012</v>
      </c>
      <c r="G1011" s="6" t="s">
        <v>2013</v>
      </c>
      <c r="H1011" s="5" t="s">
        <v>289</v>
      </c>
      <c r="I1011" t="str">
        <f t="shared" si="66"/>
        <v>Conti Costanti Rosso di Montalcino2023</v>
      </c>
      <c r="J1011">
        <f t="shared" si="64"/>
        <v>1</v>
      </c>
    </row>
    <row r="1012" spans="1:10">
      <c r="A1012" t="s">
        <v>2014</v>
      </c>
      <c r="B1012" t="s">
        <v>2015</v>
      </c>
      <c r="C1012" t="s">
        <v>56</v>
      </c>
      <c r="D1012" t="str">
        <f t="shared" si="65"/>
        <v>Château Talbot 'Connetable Talbot'2021</v>
      </c>
      <c r="E1012">
        <f t="shared" si="63"/>
        <v>1</v>
      </c>
      <c r="F1012" t="s">
        <v>2014</v>
      </c>
      <c r="G1012" s="6" t="s">
        <v>2015</v>
      </c>
      <c r="H1012" s="5" t="s">
        <v>56</v>
      </c>
      <c r="I1012" t="str">
        <f t="shared" si="66"/>
        <v>Château Talbot 'Connetable Talbot'2021</v>
      </c>
      <c r="J1012">
        <f t="shared" si="64"/>
        <v>1</v>
      </c>
    </row>
    <row r="1013" spans="1:10">
      <c r="A1013" t="s">
        <v>2016</v>
      </c>
      <c r="B1013" t="s">
        <v>2017</v>
      </c>
      <c r="C1013" t="s">
        <v>289</v>
      </c>
      <c r="D1013" t="str">
        <f t="shared" si="65"/>
        <v>Agricola Gianpiero Marrone Dolcetto d'Alba DOC2023</v>
      </c>
      <c r="E1013">
        <f t="shared" si="63"/>
        <v>1</v>
      </c>
      <c r="F1013" t="s">
        <v>2016</v>
      </c>
      <c r="G1013" s="6" t="s">
        <v>2017</v>
      </c>
      <c r="H1013" s="5" t="s">
        <v>289</v>
      </c>
      <c r="I1013" t="str">
        <f t="shared" si="66"/>
        <v>Agricola Gianpiero Marrone Dolcetto d'Alba DOC2023</v>
      </c>
      <c r="J1013">
        <f t="shared" si="64"/>
        <v>1</v>
      </c>
    </row>
    <row r="1014" spans="1:10">
      <c r="A1014" t="s">
        <v>2018</v>
      </c>
      <c r="B1014" t="s">
        <v>2019</v>
      </c>
      <c r="C1014" t="s">
        <v>30</v>
      </c>
      <c r="D1014" t="str">
        <f t="shared" si="65"/>
        <v>Agricola Gianpiero Marrone Langhe Nebbiolo DOC2022</v>
      </c>
      <c r="E1014">
        <f t="shared" si="63"/>
        <v>1</v>
      </c>
      <c r="F1014" t="s">
        <v>2018</v>
      </c>
      <c r="G1014" s="6" t="s">
        <v>2019</v>
      </c>
      <c r="H1014" s="5" t="s">
        <v>30</v>
      </c>
      <c r="I1014" t="str">
        <f t="shared" si="66"/>
        <v>Agricola Gianpiero Marrone Langhe Nebbiolo DOC2022</v>
      </c>
      <c r="J1014">
        <f t="shared" si="64"/>
        <v>1</v>
      </c>
    </row>
    <row r="1015" spans="1:10">
      <c r="A1015" t="s">
        <v>2020</v>
      </c>
      <c r="B1015" t="s">
        <v>2021</v>
      </c>
      <c r="C1015" t="s">
        <v>92</v>
      </c>
      <c r="D1015" t="str">
        <f t="shared" si="65"/>
        <v>Agricola Gianpiero Marrone 'Pichemej' Barolo DOCG2020</v>
      </c>
      <c r="E1015">
        <f t="shared" si="63"/>
        <v>1</v>
      </c>
      <c r="F1015" t="s">
        <v>2020</v>
      </c>
      <c r="G1015" s="6" t="s">
        <v>2021</v>
      </c>
      <c r="H1015" s="5" t="s">
        <v>92</v>
      </c>
      <c r="I1015" t="str">
        <f t="shared" si="66"/>
        <v>Agricola Gianpiero Marrone 'Pichemej' Barolo DOCG2020</v>
      </c>
      <c r="J1015">
        <f t="shared" si="64"/>
        <v>1</v>
      </c>
    </row>
    <row r="1016" spans="1:10">
      <c r="A1016" t="s">
        <v>2022</v>
      </c>
      <c r="B1016" t="s">
        <v>2023</v>
      </c>
      <c r="C1016" t="s">
        <v>1537</v>
      </c>
      <c r="D1016" t="str">
        <f t="shared" si="65"/>
        <v>Falletto di Bruno Giacosa Dolcetto d'Alba2024</v>
      </c>
      <c r="E1016">
        <f t="shared" si="63"/>
        <v>1</v>
      </c>
      <c r="F1016" t="s">
        <v>2022</v>
      </c>
      <c r="G1016" s="6" t="s">
        <v>2023</v>
      </c>
      <c r="H1016" s="5" t="s">
        <v>1537</v>
      </c>
      <c r="I1016" t="str">
        <f t="shared" si="66"/>
        <v>Falletto di Bruno Giacosa Dolcetto d'Alba2024</v>
      </c>
      <c r="J1016">
        <f t="shared" si="64"/>
        <v>1</v>
      </c>
    </row>
    <row r="1017" spans="1:10">
      <c r="A1017" t="s">
        <v>2024</v>
      </c>
      <c r="B1017" t="s">
        <v>2025</v>
      </c>
      <c r="C1017" t="s">
        <v>56</v>
      </c>
      <c r="D1017" t="str">
        <f t="shared" si="65"/>
        <v>Conti Costanti Calbello 'Ardingo' Toscana IGT2021</v>
      </c>
      <c r="E1017">
        <f t="shared" si="63"/>
        <v>1</v>
      </c>
      <c r="F1017" t="s">
        <v>2024</v>
      </c>
      <c r="G1017" s="6" t="s">
        <v>2025</v>
      </c>
      <c r="H1017" s="5" t="s">
        <v>56</v>
      </c>
      <c r="I1017" t="str">
        <f t="shared" si="66"/>
        <v>Conti Costanti Calbello 'Ardingo' Toscana IGT2021</v>
      </c>
      <c r="J1017">
        <f t="shared" si="64"/>
        <v>1</v>
      </c>
    </row>
    <row r="1018" spans="1:10">
      <c r="A1018" t="s">
        <v>2026</v>
      </c>
      <c r="B1018" t="s">
        <v>2027</v>
      </c>
      <c r="C1018" t="s">
        <v>81</v>
      </c>
      <c r="D1018" t="str">
        <f t="shared" si="65"/>
        <v>Château Les Ormes de Pez2019</v>
      </c>
      <c r="E1018">
        <f t="shared" si="63"/>
        <v>1</v>
      </c>
      <c r="F1018" t="s">
        <v>2026</v>
      </c>
      <c r="G1018" s="6" t="s">
        <v>2027</v>
      </c>
      <c r="H1018" s="5" t="s">
        <v>81</v>
      </c>
      <c r="I1018" t="str">
        <f t="shared" si="66"/>
        <v>Château Les Ormes de Pez2019</v>
      </c>
      <c r="J1018">
        <f t="shared" si="64"/>
        <v>1</v>
      </c>
    </row>
    <row r="1019" spans="1:10">
      <c r="A1019" t="s">
        <v>2028</v>
      </c>
      <c r="B1019" t="s">
        <v>2029</v>
      </c>
      <c r="C1019" t="s">
        <v>92</v>
      </c>
      <c r="D1019" t="str">
        <f t="shared" si="65"/>
        <v>Château Pichon-Longueville 'Les Griffons de Pichon Baron'2020</v>
      </c>
      <c r="E1019">
        <f t="shared" si="63"/>
        <v>1</v>
      </c>
      <c r="F1019" t="s">
        <v>2028</v>
      </c>
      <c r="G1019" s="6" t="s">
        <v>2029</v>
      </c>
      <c r="H1019" s="5" t="s">
        <v>92</v>
      </c>
      <c r="I1019" t="str">
        <f t="shared" si="66"/>
        <v>Château Pichon-Longueville 'Les Griffons de Pichon Baron'2020</v>
      </c>
      <c r="J1019">
        <f t="shared" si="64"/>
        <v>1</v>
      </c>
    </row>
    <row r="1020" spans="1:10">
      <c r="A1020" t="s">
        <v>2030</v>
      </c>
      <c r="B1020" t="s">
        <v>2031</v>
      </c>
      <c r="C1020" t="s">
        <v>30</v>
      </c>
      <c r="D1020" t="str">
        <f t="shared" si="65"/>
        <v>Agricola Gianpiero Marrone 'Carlot' Barbera d'Alba DOC2022</v>
      </c>
      <c r="E1020">
        <f t="shared" si="63"/>
        <v>1</v>
      </c>
      <c r="F1020" t="s">
        <v>2030</v>
      </c>
      <c r="G1020" s="6" t="s">
        <v>2031</v>
      </c>
      <c r="H1020" s="5" t="s">
        <v>30</v>
      </c>
      <c r="I1020" t="str">
        <f t="shared" si="66"/>
        <v>Agricola Gianpiero Marrone 'Carlot' Barbera d'Alba DOC2022</v>
      </c>
      <c r="J1020">
        <f t="shared" si="64"/>
        <v>1</v>
      </c>
    </row>
    <row r="1021" spans="1:10">
      <c r="A1021" t="s">
        <v>2032</v>
      </c>
      <c r="B1021" t="s">
        <v>2033</v>
      </c>
      <c r="C1021" t="s">
        <v>92</v>
      </c>
      <c r="D1021" t="str">
        <f t="shared" si="65"/>
        <v>Agricola Gianpiero Marrone Bussia DOCG2020</v>
      </c>
      <c r="E1021">
        <f t="shared" si="63"/>
        <v>1</v>
      </c>
      <c r="F1021" t="s">
        <v>2032</v>
      </c>
      <c r="G1021" s="6" t="s">
        <v>2033</v>
      </c>
      <c r="H1021" s="5" t="s">
        <v>92</v>
      </c>
      <c r="I1021" t="str">
        <f t="shared" si="66"/>
        <v>Agricola Gianpiero Marrone Bussia DOCG2020</v>
      </c>
      <c r="J1021">
        <f t="shared" si="64"/>
        <v>1</v>
      </c>
    </row>
    <row r="1022" spans="1:10">
      <c r="A1022" t="s">
        <v>2034</v>
      </c>
      <c r="B1022" t="s">
        <v>2035</v>
      </c>
      <c r="C1022" t="s">
        <v>56</v>
      </c>
      <c r="D1022" t="str">
        <f t="shared" si="65"/>
        <v>Château Smith Haut Lafitte 'Le Petit Smith Haut Lafitte'2021</v>
      </c>
      <c r="E1022">
        <f t="shared" si="63"/>
        <v>1</v>
      </c>
      <c r="F1022" t="s">
        <v>2034</v>
      </c>
      <c r="G1022" s="6" t="s">
        <v>2035</v>
      </c>
      <c r="H1022" s="5" t="s">
        <v>56</v>
      </c>
      <c r="I1022" t="str">
        <f t="shared" si="66"/>
        <v>Château Smith Haut Lafitte 'Le Petit Smith Haut Lafitte'2021</v>
      </c>
      <c r="J1022">
        <f t="shared" si="64"/>
        <v>1</v>
      </c>
    </row>
    <row r="1023" spans="1:10">
      <c r="A1023" t="s">
        <v>2036</v>
      </c>
      <c r="B1023" t="s">
        <v>2037</v>
      </c>
      <c r="C1023" t="s">
        <v>92</v>
      </c>
      <c r="D1023" t="str">
        <f t="shared" si="65"/>
        <v>Château La Fleur de Boüard2020</v>
      </c>
      <c r="E1023">
        <f t="shared" si="63"/>
        <v>1</v>
      </c>
      <c r="F1023" t="s">
        <v>2036</v>
      </c>
      <c r="G1023" s="6" t="s">
        <v>2037</v>
      </c>
      <c r="H1023" s="5" t="s">
        <v>92</v>
      </c>
      <c r="I1023" t="str">
        <f t="shared" si="66"/>
        <v>Château La Fleur de Boüard2020</v>
      </c>
      <c r="J1023">
        <f t="shared" si="64"/>
        <v>1</v>
      </c>
    </row>
    <row r="1024" spans="1:10">
      <c r="A1024" t="s">
        <v>2038</v>
      </c>
      <c r="B1024" t="s">
        <v>2039</v>
      </c>
      <c r="C1024" t="s">
        <v>30</v>
      </c>
      <c r="D1024" t="str">
        <f t="shared" si="65"/>
        <v>AJ Vaona Vosne-Romanée 2022</v>
      </c>
      <c r="E1024">
        <f t="shared" si="63"/>
        <v>1</v>
      </c>
      <c r="F1024" t="s">
        <v>2038</v>
      </c>
      <c r="G1024" s="6" t="s">
        <v>2039</v>
      </c>
      <c r="H1024" s="5" t="s">
        <v>30</v>
      </c>
      <c r="I1024" t="str">
        <f t="shared" si="66"/>
        <v>AJ Vaona Vosne-Romanée 2022</v>
      </c>
      <c r="J1024">
        <f t="shared" si="64"/>
        <v>1</v>
      </c>
    </row>
    <row r="1025" spans="1:10">
      <c r="A1025" t="s">
        <v>2040</v>
      </c>
      <c r="B1025" t="s">
        <v>2041</v>
      </c>
      <c r="C1025" t="s">
        <v>1102</v>
      </c>
      <c r="D1025" t="str">
        <f t="shared" si="65"/>
        <v>Domaine Francois Gaunoux Pommard 'Les Tavannes'1995</v>
      </c>
      <c r="E1025">
        <f t="shared" si="63"/>
        <v>1</v>
      </c>
      <c r="F1025" t="s">
        <v>2040</v>
      </c>
      <c r="G1025" s="6" t="s">
        <v>2041</v>
      </c>
      <c r="H1025" s="5" t="s">
        <v>1102</v>
      </c>
      <c r="I1025" t="str">
        <f t="shared" si="66"/>
        <v>Domaine Francois Gaunoux Pommard 'Les Tavannes'1995</v>
      </c>
      <c r="J1025">
        <f t="shared" si="64"/>
        <v>1</v>
      </c>
    </row>
    <row r="1026" spans="1:10">
      <c r="A1026" t="s">
        <v>2042</v>
      </c>
      <c r="B1026" t="s">
        <v>2043</v>
      </c>
      <c r="C1026" t="s">
        <v>56</v>
      </c>
      <c r="D1026" t="str">
        <f t="shared" si="65"/>
        <v>Agricola Gianpiero Marrone 'Agrestis' Nebbiolo d'Alba Superiore DOC2021</v>
      </c>
      <c r="E1026">
        <f t="shared" si="63"/>
        <v>1</v>
      </c>
      <c r="F1026" t="s">
        <v>2042</v>
      </c>
      <c r="G1026" s="6" t="s">
        <v>2043</v>
      </c>
      <c r="H1026" s="5" t="s">
        <v>56</v>
      </c>
      <c r="I1026" t="str">
        <f t="shared" si="66"/>
        <v>Agricola Gianpiero Marrone 'Agrestis' Nebbiolo d'Alba Superiore DOC2021</v>
      </c>
      <c r="J1026">
        <f t="shared" si="64"/>
        <v>1</v>
      </c>
    </row>
    <row r="1027" spans="1:10">
      <c r="A1027" t="s">
        <v>2044</v>
      </c>
      <c r="B1027" t="s">
        <v>2045</v>
      </c>
      <c r="C1027" t="s">
        <v>81</v>
      </c>
      <c r="D1027" t="str">
        <f t="shared" si="65"/>
        <v>Château Sainte Marie2019</v>
      </c>
      <c r="E1027">
        <f t="shared" ref="E1027:E1090" si="67">IF(A1027=F1027,1,0)</f>
        <v>1</v>
      </c>
      <c r="F1027" t="s">
        <v>2044</v>
      </c>
      <c r="G1027" s="6" t="s">
        <v>2045</v>
      </c>
      <c r="H1027" s="5" t="s">
        <v>81</v>
      </c>
      <c r="I1027" t="str">
        <f t="shared" si="66"/>
        <v>Château Sainte Marie2019</v>
      </c>
      <c r="J1027">
        <f t="shared" ref="J1027:J1090" si="68">IF(D1027=I1027,1,0)</f>
        <v>1</v>
      </c>
    </row>
    <row r="1028" spans="1:10">
      <c r="A1028" t="s">
        <v>2046</v>
      </c>
      <c r="B1028" t="s">
        <v>2047</v>
      </c>
      <c r="C1028" t="s">
        <v>56</v>
      </c>
      <c r="D1028" t="str">
        <f t="shared" si="65"/>
        <v>Conti Costanti Vermiglio Rosso di Montalcino2021</v>
      </c>
      <c r="E1028">
        <f t="shared" si="67"/>
        <v>1</v>
      </c>
      <c r="F1028" t="s">
        <v>2046</v>
      </c>
      <c r="G1028" s="6" t="s">
        <v>2047</v>
      </c>
      <c r="H1028" s="5" t="s">
        <v>56</v>
      </c>
      <c r="I1028" t="str">
        <f t="shared" si="66"/>
        <v>Conti Costanti Vermiglio Rosso di Montalcino2021</v>
      </c>
      <c r="J1028">
        <f t="shared" si="68"/>
        <v>1</v>
      </c>
    </row>
    <row r="1029" spans="1:10">
      <c r="A1029" t="s">
        <v>2048</v>
      </c>
      <c r="B1029" t="s">
        <v>2049</v>
      </c>
      <c r="C1029" t="s">
        <v>92</v>
      </c>
      <c r="D1029" t="str">
        <f t="shared" si="65"/>
        <v>Domaine Francois Gaunoux Volnay 'Clos des Chenes' Premier Cru2020</v>
      </c>
      <c r="E1029">
        <f t="shared" si="67"/>
        <v>1</v>
      </c>
      <c r="F1029" t="s">
        <v>2048</v>
      </c>
      <c r="G1029" s="6" t="s">
        <v>2049</v>
      </c>
      <c r="H1029" s="5" t="s">
        <v>92</v>
      </c>
      <c r="I1029" t="str">
        <f t="shared" si="66"/>
        <v>Domaine Francois Gaunoux Volnay 'Clos des Chenes' Premier Cru2020</v>
      </c>
      <c r="J1029">
        <f t="shared" si="68"/>
        <v>1</v>
      </c>
    </row>
    <row r="1030" spans="1:10">
      <c r="A1030" t="s">
        <v>2050</v>
      </c>
      <c r="B1030" t="s">
        <v>2051</v>
      </c>
      <c r="C1030" t="s">
        <v>30</v>
      </c>
      <c r="D1030" t="str">
        <f t="shared" si="65"/>
        <v>AJ Vaona Savigny-Les-Beaune 2022</v>
      </c>
      <c r="E1030">
        <f t="shared" si="67"/>
        <v>1</v>
      </c>
      <c r="F1030" t="s">
        <v>2050</v>
      </c>
      <c r="G1030" s="6" t="s">
        <v>2051</v>
      </c>
      <c r="H1030" s="5" t="s">
        <v>30</v>
      </c>
      <c r="I1030" t="str">
        <f t="shared" si="66"/>
        <v>AJ Vaona Savigny-Les-Beaune 2022</v>
      </c>
      <c r="J1030">
        <f t="shared" si="68"/>
        <v>1</v>
      </c>
    </row>
    <row r="1031" spans="1:10">
      <c r="A1031" t="s">
        <v>2052</v>
      </c>
      <c r="B1031" t="s">
        <v>2053</v>
      </c>
      <c r="C1031" t="s">
        <v>30</v>
      </c>
      <c r="D1031" t="str">
        <f t="shared" ref="D1031:D1094" si="69">B1031&amp;C1031</f>
        <v>Domaine Daniel-Etienne Defaix Bourgogne Rouge2022</v>
      </c>
      <c r="E1031">
        <f t="shared" si="67"/>
        <v>1</v>
      </c>
      <c r="F1031" t="s">
        <v>2052</v>
      </c>
      <c r="G1031" s="6" t="s">
        <v>2053</v>
      </c>
      <c r="H1031" s="5" t="s">
        <v>30</v>
      </c>
      <c r="I1031" t="str">
        <f t="shared" ref="I1031:I1094" si="70">G1031&amp;H1031</f>
        <v>Domaine Daniel-Etienne Defaix Bourgogne Rouge2022</v>
      </c>
      <c r="J1031">
        <f t="shared" si="68"/>
        <v>1</v>
      </c>
    </row>
    <row r="1032" spans="1:10">
      <c r="A1032" t="s">
        <v>2054</v>
      </c>
      <c r="B1032" t="s">
        <v>2055</v>
      </c>
      <c r="C1032" t="s">
        <v>92</v>
      </c>
      <c r="D1032" t="str">
        <f t="shared" si="69"/>
        <v>Château La Gaffeliere 'Clos La Gaffeliere'2020</v>
      </c>
      <c r="E1032">
        <f t="shared" si="67"/>
        <v>1</v>
      </c>
      <c r="F1032" t="s">
        <v>2054</v>
      </c>
      <c r="G1032" s="6" t="s">
        <v>2055</v>
      </c>
      <c r="H1032" s="5" t="s">
        <v>92</v>
      </c>
      <c r="I1032" t="str">
        <f t="shared" si="70"/>
        <v>Château La Gaffeliere 'Clos La Gaffeliere'2020</v>
      </c>
      <c r="J1032">
        <f t="shared" si="68"/>
        <v>1</v>
      </c>
    </row>
    <row r="1033" spans="1:10">
      <c r="A1033" t="s">
        <v>2056</v>
      </c>
      <c r="B1033" t="s">
        <v>2057</v>
      </c>
      <c r="C1033" t="s">
        <v>56</v>
      </c>
      <c r="D1033" t="str">
        <f t="shared" si="69"/>
        <v>Domaine Tortochot Morey-Saint-Denis 'Aux Charmes' Premier Cru2021</v>
      </c>
      <c r="E1033">
        <f t="shared" si="67"/>
        <v>1</v>
      </c>
      <c r="F1033" t="s">
        <v>2056</v>
      </c>
      <c r="G1033" s="6" t="s">
        <v>2057</v>
      </c>
      <c r="H1033" s="5" t="s">
        <v>56</v>
      </c>
      <c r="I1033" t="str">
        <f t="shared" si="70"/>
        <v>Domaine Tortochot Morey-Saint-Denis 'Aux Charmes' Premier Cru2021</v>
      </c>
      <c r="J1033">
        <f t="shared" si="68"/>
        <v>1</v>
      </c>
    </row>
    <row r="1034" spans="1:10">
      <c r="A1034" t="s">
        <v>2058</v>
      </c>
      <c r="B1034" t="s">
        <v>2059</v>
      </c>
      <c r="C1034" t="s">
        <v>118</v>
      </c>
      <c r="D1034" t="str">
        <f t="shared" si="69"/>
        <v>Penfolds 'Bin 169' Cabernet Sauvignon2018</v>
      </c>
      <c r="E1034">
        <f t="shared" si="67"/>
        <v>1</v>
      </c>
      <c r="F1034" t="s">
        <v>2058</v>
      </c>
      <c r="G1034" s="6" t="s">
        <v>2059</v>
      </c>
      <c r="H1034" s="5" t="s">
        <v>118</v>
      </c>
      <c r="I1034" t="str">
        <f t="shared" si="70"/>
        <v>Penfolds 'Bin 169' Cabernet Sauvignon2018</v>
      </c>
      <c r="J1034">
        <f t="shared" si="68"/>
        <v>1</v>
      </c>
    </row>
    <row r="1035" spans="1:10">
      <c r="A1035" t="s">
        <v>2060</v>
      </c>
      <c r="B1035" t="s">
        <v>2061</v>
      </c>
      <c r="C1035" t="s">
        <v>30</v>
      </c>
      <c r="D1035" t="str">
        <f t="shared" si="69"/>
        <v>Domaine Alain Hudelot-Noellat Nuits-Saint-Georges 'Les Murgers' Premier Cru2022</v>
      </c>
      <c r="E1035">
        <f t="shared" si="67"/>
        <v>1</v>
      </c>
      <c r="F1035" t="s">
        <v>2060</v>
      </c>
      <c r="G1035" s="6" t="s">
        <v>2061</v>
      </c>
      <c r="H1035" s="5" t="s">
        <v>30</v>
      </c>
      <c r="I1035" t="str">
        <f t="shared" si="70"/>
        <v>Domaine Alain Hudelot-Noellat Nuits-Saint-Georges 'Les Murgers' Premier Cru2022</v>
      </c>
      <c r="J1035">
        <f t="shared" si="68"/>
        <v>1</v>
      </c>
    </row>
    <row r="1036" spans="1:10">
      <c r="A1036" t="s">
        <v>2062</v>
      </c>
      <c r="B1036" t="s">
        <v>2063</v>
      </c>
      <c r="C1036" t="s">
        <v>30</v>
      </c>
      <c r="D1036" t="str">
        <f t="shared" si="69"/>
        <v>Domaine Alain Hudelot-Noellat Vougeot 'Les Petits Vougeots' Premier Cru2022</v>
      </c>
      <c r="E1036">
        <f t="shared" si="67"/>
        <v>1</v>
      </c>
      <c r="F1036" t="s">
        <v>2062</v>
      </c>
      <c r="G1036" s="6" t="s">
        <v>2063</v>
      </c>
      <c r="H1036" s="5" t="s">
        <v>30</v>
      </c>
      <c r="I1036" t="str">
        <f t="shared" si="70"/>
        <v>Domaine Alain Hudelot-Noellat Vougeot 'Les Petits Vougeots' Premier Cru2022</v>
      </c>
      <c r="J1036">
        <f t="shared" si="68"/>
        <v>1</v>
      </c>
    </row>
    <row r="1037" spans="1:10">
      <c r="A1037" t="s">
        <v>2064</v>
      </c>
      <c r="B1037" t="s">
        <v>2065</v>
      </c>
      <c r="C1037" t="s">
        <v>30</v>
      </c>
      <c r="D1037" t="str">
        <f t="shared" si="69"/>
        <v>Le Petit Ducru de Château Ducru-Beaucaillou2022</v>
      </c>
      <c r="E1037">
        <f t="shared" si="67"/>
        <v>1</v>
      </c>
      <c r="F1037" t="s">
        <v>2064</v>
      </c>
      <c r="G1037" s="6" t="s">
        <v>2065</v>
      </c>
      <c r="H1037" s="5" t="s">
        <v>30</v>
      </c>
      <c r="I1037" t="str">
        <f t="shared" si="70"/>
        <v>Le Petit Ducru de Château Ducru-Beaucaillou2022</v>
      </c>
      <c r="J1037">
        <f t="shared" si="68"/>
        <v>1</v>
      </c>
    </row>
    <row r="1038" spans="1:10">
      <c r="A1038" t="s">
        <v>2066</v>
      </c>
      <c r="B1038" t="s">
        <v>2067</v>
      </c>
      <c r="C1038" t="s">
        <v>30</v>
      </c>
      <c r="D1038" t="str">
        <f t="shared" si="69"/>
        <v>Dominio de Pingus 'Flor de Pingus' Ribera del Duero2022</v>
      </c>
      <c r="E1038">
        <f t="shared" si="67"/>
        <v>1</v>
      </c>
      <c r="F1038" t="s">
        <v>2066</v>
      </c>
      <c r="G1038" s="6" t="s">
        <v>2067</v>
      </c>
      <c r="H1038" s="5" t="s">
        <v>30</v>
      </c>
      <c r="I1038" t="str">
        <f t="shared" si="70"/>
        <v>Dominio de Pingus 'Flor de Pingus' Ribera del Duero2022</v>
      </c>
      <c r="J1038">
        <f t="shared" si="68"/>
        <v>1</v>
      </c>
    </row>
    <row r="1039" spans="1:10">
      <c r="A1039" t="s">
        <v>2068</v>
      </c>
      <c r="B1039" t="s">
        <v>2069</v>
      </c>
      <c r="C1039" t="s">
        <v>92</v>
      </c>
      <c r="D1039" t="str">
        <f t="shared" si="69"/>
        <v>Domaine de Chevalier 'L'Esprit de Chevalier'2020</v>
      </c>
      <c r="E1039">
        <f t="shared" si="67"/>
        <v>1</v>
      </c>
      <c r="F1039" t="s">
        <v>2068</v>
      </c>
      <c r="G1039" s="6" t="s">
        <v>2069</v>
      </c>
      <c r="H1039" s="5" t="s">
        <v>92</v>
      </c>
      <c r="I1039" t="str">
        <f t="shared" si="70"/>
        <v>Domaine de Chevalier 'L'Esprit de Chevalier'2020</v>
      </c>
      <c r="J1039">
        <f t="shared" si="68"/>
        <v>1</v>
      </c>
    </row>
    <row r="1040" spans="1:10">
      <c r="A1040" t="s">
        <v>2070</v>
      </c>
      <c r="B1040" t="s">
        <v>2071</v>
      </c>
      <c r="C1040" t="s">
        <v>133</v>
      </c>
      <c r="D1040" t="str">
        <f t="shared" si="69"/>
        <v>Château Valandraud2007</v>
      </c>
      <c r="E1040">
        <f t="shared" si="67"/>
        <v>1</v>
      </c>
      <c r="F1040" t="s">
        <v>2070</v>
      </c>
      <c r="G1040" s="7" t="s">
        <v>2071</v>
      </c>
      <c r="H1040" s="5" t="s">
        <v>133</v>
      </c>
      <c r="I1040" t="str">
        <f t="shared" si="70"/>
        <v>Château Valandraud2007</v>
      </c>
      <c r="J1040">
        <f t="shared" si="68"/>
        <v>1</v>
      </c>
    </row>
    <row r="1041" spans="1:10">
      <c r="A1041" t="s">
        <v>2072</v>
      </c>
      <c r="B1041" t="s">
        <v>2047</v>
      </c>
      <c r="C1041" t="s">
        <v>92</v>
      </c>
      <c r="D1041" t="str">
        <f t="shared" si="69"/>
        <v>Conti Costanti Vermiglio Rosso di Montalcino2020</v>
      </c>
      <c r="E1041">
        <f t="shared" si="67"/>
        <v>1</v>
      </c>
      <c r="F1041" t="s">
        <v>2072</v>
      </c>
      <c r="G1041" s="6" t="s">
        <v>2047</v>
      </c>
      <c r="H1041" s="5" t="s">
        <v>92</v>
      </c>
      <c r="I1041" t="str">
        <f t="shared" si="70"/>
        <v>Conti Costanti Vermiglio Rosso di Montalcino2020</v>
      </c>
      <c r="J1041">
        <f t="shared" si="68"/>
        <v>1</v>
      </c>
    </row>
    <row r="1042" spans="1:10">
      <c r="A1042" t="s">
        <v>2073</v>
      </c>
      <c r="B1042" t="s">
        <v>2074</v>
      </c>
      <c r="C1042" t="s">
        <v>917</v>
      </c>
      <c r="D1042" t="str">
        <f t="shared" si="69"/>
        <v>Domaine Francois Gaunoux Beaune 'Clos des Mouches' Premier Cru1998</v>
      </c>
      <c r="E1042">
        <f t="shared" si="67"/>
        <v>1</v>
      </c>
      <c r="F1042" t="s">
        <v>2073</v>
      </c>
      <c r="G1042" s="6" t="s">
        <v>2074</v>
      </c>
      <c r="H1042" s="5" t="s">
        <v>917</v>
      </c>
      <c r="I1042" t="str">
        <f t="shared" si="70"/>
        <v>Domaine Francois Gaunoux Beaune 'Clos des Mouches' Premier Cru1998</v>
      </c>
      <c r="J1042">
        <f t="shared" si="68"/>
        <v>1</v>
      </c>
    </row>
    <row r="1043" spans="1:10">
      <c r="A1043" t="s">
        <v>2075</v>
      </c>
      <c r="B1043" t="s">
        <v>2076</v>
      </c>
      <c r="C1043" t="s">
        <v>129</v>
      </c>
      <c r="D1043" t="str">
        <f t="shared" si="69"/>
        <v>Château Latour 'Les Forts de Latour' (OWC 3)2016</v>
      </c>
      <c r="E1043">
        <f t="shared" si="67"/>
        <v>1</v>
      </c>
      <c r="F1043" t="s">
        <v>2075</v>
      </c>
      <c r="G1043" s="6" t="s">
        <v>2076</v>
      </c>
      <c r="H1043" s="5" t="s">
        <v>129</v>
      </c>
      <c r="I1043" t="str">
        <f t="shared" si="70"/>
        <v>Château Latour 'Les Forts de Latour' (OWC 3)2016</v>
      </c>
      <c r="J1043">
        <f t="shared" si="68"/>
        <v>1</v>
      </c>
    </row>
    <row r="1044" spans="1:10">
      <c r="A1044" t="s">
        <v>2077</v>
      </c>
      <c r="B1044" t="s">
        <v>2078</v>
      </c>
      <c r="C1044" t="s">
        <v>92</v>
      </c>
      <c r="D1044" t="str">
        <f t="shared" si="69"/>
        <v>Agricola Gianpiero Marrone Barolo DOCG2020</v>
      </c>
      <c r="E1044">
        <f t="shared" si="67"/>
        <v>1</v>
      </c>
      <c r="F1044" t="s">
        <v>2077</v>
      </c>
      <c r="G1044" s="6" t="s">
        <v>2078</v>
      </c>
      <c r="H1044" s="5" t="s">
        <v>92</v>
      </c>
      <c r="I1044" t="str">
        <f t="shared" si="70"/>
        <v>Agricola Gianpiero Marrone Barolo DOCG2020</v>
      </c>
      <c r="J1044">
        <f t="shared" si="68"/>
        <v>1</v>
      </c>
    </row>
    <row r="1045" spans="1:10">
      <c r="A1045" t="s">
        <v>2079</v>
      </c>
      <c r="B1045" t="s">
        <v>2080</v>
      </c>
      <c r="C1045" t="s">
        <v>92</v>
      </c>
      <c r="D1045" t="str">
        <f t="shared" si="69"/>
        <v>Falletto di Bruno Giacosa Barolo DOCG2020</v>
      </c>
      <c r="E1045">
        <f t="shared" si="67"/>
        <v>1</v>
      </c>
      <c r="F1045" t="s">
        <v>2079</v>
      </c>
      <c r="G1045" s="6" t="s">
        <v>2080</v>
      </c>
      <c r="H1045" s="5" t="s">
        <v>92</v>
      </c>
      <c r="I1045" t="str">
        <f t="shared" si="70"/>
        <v>Falletto di Bruno Giacosa Barolo DOCG2020</v>
      </c>
      <c r="J1045">
        <f t="shared" si="68"/>
        <v>1</v>
      </c>
    </row>
    <row r="1046" spans="1:10">
      <c r="A1046" t="s">
        <v>2081</v>
      </c>
      <c r="B1046" t="s">
        <v>2029</v>
      </c>
      <c r="C1046" t="s">
        <v>118</v>
      </c>
      <c r="D1046" t="str">
        <f t="shared" si="69"/>
        <v>Château Pichon-Longueville 'Les Griffons de Pichon Baron'2018</v>
      </c>
      <c r="E1046">
        <f t="shared" si="67"/>
        <v>1</v>
      </c>
      <c r="F1046" t="s">
        <v>2081</v>
      </c>
      <c r="G1046" s="6" t="s">
        <v>2029</v>
      </c>
      <c r="H1046" s="5" t="s">
        <v>118</v>
      </c>
      <c r="I1046" t="str">
        <f t="shared" si="70"/>
        <v>Château Pichon-Longueville 'Les Griffons de Pichon Baron'2018</v>
      </c>
      <c r="J1046">
        <f t="shared" si="68"/>
        <v>1</v>
      </c>
    </row>
    <row r="1047" spans="1:10">
      <c r="A1047" t="s">
        <v>2082</v>
      </c>
      <c r="B1047" t="s">
        <v>2083</v>
      </c>
      <c r="C1047" t="s">
        <v>56</v>
      </c>
      <c r="D1047" t="str">
        <f t="shared" si="69"/>
        <v>Agricola Gianpiero Marrone 'La Pantalera' Barbera d'Alba Superiore DOC2021</v>
      </c>
      <c r="E1047">
        <f t="shared" si="67"/>
        <v>1</v>
      </c>
      <c r="F1047" t="s">
        <v>2082</v>
      </c>
      <c r="G1047" s="6" t="s">
        <v>2083</v>
      </c>
      <c r="H1047" s="5" t="s">
        <v>56</v>
      </c>
      <c r="I1047" t="str">
        <f t="shared" si="70"/>
        <v>Agricola Gianpiero Marrone 'La Pantalera' Barbera d'Alba Superiore DOC2021</v>
      </c>
      <c r="J1047">
        <f t="shared" si="68"/>
        <v>1</v>
      </c>
    </row>
    <row r="1048" spans="1:10">
      <c r="A1048" t="s">
        <v>2084</v>
      </c>
      <c r="B1048" t="s">
        <v>2085</v>
      </c>
      <c r="C1048" t="s">
        <v>30</v>
      </c>
      <c r="D1048" t="str">
        <f t="shared" si="69"/>
        <v>AJ Vaona Pommard Premier Cru2022</v>
      </c>
      <c r="E1048">
        <f t="shared" si="67"/>
        <v>1</v>
      </c>
      <c r="F1048" t="s">
        <v>2084</v>
      </c>
      <c r="G1048" s="6" t="s">
        <v>2085</v>
      </c>
      <c r="H1048" s="5" t="s">
        <v>30</v>
      </c>
      <c r="I1048" t="str">
        <f t="shared" si="70"/>
        <v>AJ Vaona Pommard Premier Cru2022</v>
      </c>
      <c r="J1048">
        <f t="shared" si="68"/>
        <v>1</v>
      </c>
    </row>
    <row r="1049" spans="1:10">
      <c r="A1049" t="s">
        <v>2086</v>
      </c>
      <c r="B1049" t="s">
        <v>2087</v>
      </c>
      <c r="C1049" t="s">
        <v>30</v>
      </c>
      <c r="D1049" t="str">
        <f t="shared" si="69"/>
        <v>Jean Foillard Fleurie Morgon 'Cote du Py'2022</v>
      </c>
      <c r="E1049">
        <f t="shared" si="67"/>
        <v>1</v>
      </c>
      <c r="F1049" t="s">
        <v>2086</v>
      </c>
      <c r="G1049" s="6" t="s">
        <v>2087</v>
      </c>
      <c r="H1049" s="5" t="s">
        <v>30</v>
      </c>
      <c r="I1049" t="str">
        <f t="shared" si="70"/>
        <v>Jean Foillard Fleurie Morgon 'Cote du Py'2022</v>
      </c>
      <c r="J1049">
        <f t="shared" si="68"/>
        <v>1</v>
      </c>
    </row>
    <row r="1050" spans="1:10">
      <c r="A1050" t="s">
        <v>2088</v>
      </c>
      <c r="B1050" t="s">
        <v>2089</v>
      </c>
      <c r="C1050" t="s">
        <v>137</v>
      </c>
      <c r="D1050" t="str">
        <f t="shared" si="69"/>
        <v>Falletto di Bruno Giacosa 'Falletto Vigna Le Rocche' Barolo Riserva DOCG2017</v>
      </c>
      <c r="E1050">
        <f t="shared" si="67"/>
        <v>1</v>
      </c>
      <c r="F1050" t="s">
        <v>2088</v>
      </c>
      <c r="G1050" s="6" t="s">
        <v>2089</v>
      </c>
      <c r="H1050" s="5" t="s">
        <v>137</v>
      </c>
      <c r="I1050" t="str">
        <f t="shared" si="70"/>
        <v>Falletto di Bruno Giacosa 'Falletto Vigna Le Rocche' Barolo Riserva DOCG2017</v>
      </c>
      <c r="J1050">
        <f t="shared" si="68"/>
        <v>1</v>
      </c>
    </row>
    <row r="1051" spans="1:10">
      <c r="A1051" t="s">
        <v>2090</v>
      </c>
      <c r="B1051" t="s">
        <v>2091</v>
      </c>
      <c r="C1051" t="s">
        <v>56</v>
      </c>
      <c r="D1051" t="str">
        <f t="shared" si="69"/>
        <v>Château Phelan Segur 2021</v>
      </c>
      <c r="E1051">
        <f t="shared" si="67"/>
        <v>1</v>
      </c>
      <c r="F1051" t="s">
        <v>2090</v>
      </c>
      <c r="G1051" s="7" t="s">
        <v>2091</v>
      </c>
      <c r="H1051" s="5" t="s">
        <v>56</v>
      </c>
      <c r="I1051" t="str">
        <f t="shared" si="70"/>
        <v>Château Phelan Segur 2021</v>
      </c>
      <c r="J1051">
        <f t="shared" si="68"/>
        <v>1</v>
      </c>
    </row>
    <row r="1052" spans="1:10">
      <c r="A1052" t="s">
        <v>2092</v>
      </c>
      <c r="B1052" t="s">
        <v>2071</v>
      </c>
      <c r="C1052" t="s">
        <v>81</v>
      </c>
      <c r="D1052" t="str">
        <f t="shared" si="69"/>
        <v>Château Valandraud2019</v>
      </c>
      <c r="E1052">
        <f t="shared" si="67"/>
        <v>1</v>
      </c>
      <c r="F1052" t="s">
        <v>2092</v>
      </c>
      <c r="G1052" s="6" t="s">
        <v>2071</v>
      </c>
      <c r="H1052" s="5" t="s">
        <v>81</v>
      </c>
      <c r="I1052" t="str">
        <f t="shared" si="70"/>
        <v>Château Valandraud2019</v>
      </c>
      <c r="J1052">
        <f t="shared" si="68"/>
        <v>1</v>
      </c>
    </row>
    <row r="1053" spans="1:10">
      <c r="A1053" t="s">
        <v>2093</v>
      </c>
      <c r="B1053" t="s">
        <v>2013</v>
      </c>
      <c r="C1053" t="s">
        <v>30</v>
      </c>
      <c r="D1053" t="str">
        <f t="shared" si="69"/>
        <v>Conti Costanti Rosso di Montalcino2022</v>
      </c>
      <c r="E1053">
        <f t="shared" si="67"/>
        <v>1</v>
      </c>
      <c r="F1053" t="s">
        <v>2093</v>
      </c>
      <c r="G1053" s="6" t="s">
        <v>2013</v>
      </c>
      <c r="H1053" s="5" t="s">
        <v>30</v>
      </c>
      <c r="I1053" t="str">
        <f t="shared" si="70"/>
        <v>Conti Costanti Rosso di Montalcino2022</v>
      </c>
      <c r="J1053">
        <f t="shared" si="68"/>
        <v>1</v>
      </c>
    </row>
    <row r="1054" spans="1:10">
      <c r="A1054" t="s">
        <v>2094</v>
      </c>
      <c r="B1054" t="s">
        <v>2095</v>
      </c>
      <c r="C1054" t="s">
        <v>706</v>
      </c>
      <c r="D1054" t="str">
        <f t="shared" si="69"/>
        <v>Thunevin-Calvet Maury Vin Doux Naturel1986</v>
      </c>
      <c r="E1054">
        <f t="shared" si="67"/>
        <v>1</v>
      </c>
      <c r="F1054" t="s">
        <v>2094</v>
      </c>
      <c r="G1054" s="6" t="s">
        <v>2095</v>
      </c>
      <c r="H1054" s="5" t="s">
        <v>706</v>
      </c>
      <c r="I1054" t="str">
        <f t="shared" si="70"/>
        <v>Thunevin-Calvet Maury Vin Doux Naturel1986</v>
      </c>
      <c r="J1054">
        <f t="shared" si="68"/>
        <v>1</v>
      </c>
    </row>
    <row r="1055" spans="1:10">
      <c r="A1055" t="s">
        <v>2096</v>
      </c>
      <c r="B1055" t="s">
        <v>2097</v>
      </c>
      <c r="C1055" t="s">
        <v>118</v>
      </c>
      <c r="D1055" t="str">
        <f t="shared" si="69"/>
        <v>Fattoria Poggio di Sotto Rosso di Montalcino2018</v>
      </c>
      <c r="E1055">
        <f t="shared" si="67"/>
        <v>1</v>
      </c>
      <c r="F1055" t="s">
        <v>2096</v>
      </c>
      <c r="G1055" s="6" t="s">
        <v>2097</v>
      </c>
      <c r="H1055" s="5" t="s">
        <v>118</v>
      </c>
      <c r="I1055" t="str">
        <f t="shared" si="70"/>
        <v>Fattoria Poggio di Sotto Rosso di Montalcino2018</v>
      </c>
      <c r="J1055">
        <f t="shared" si="68"/>
        <v>1</v>
      </c>
    </row>
    <row r="1056" spans="1:10">
      <c r="A1056" t="s">
        <v>2098</v>
      </c>
      <c r="B1056" t="s">
        <v>2099</v>
      </c>
      <c r="C1056" t="s">
        <v>92</v>
      </c>
      <c r="D1056" t="str">
        <f t="shared" si="69"/>
        <v>Diane by Jacques Lurton Cabernet Sauvignon2020</v>
      </c>
      <c r="E1056">
        <f t="shared" si="67"/>
        <v>1</v>
      </c>
      <c r="F1056" t="s">
        <v>2098</v>
      </c>
      <c r="G1056" s="6" t="s">
        <v>2099</v>
      </c>
      <c r="H1056" s="5" t="s">
        <v>92</v>
      </c>
      <c r="I1056" t="str">
        <f t="shared" si="70"/>
        <v>Diane by Jacques Lurton Cabernet Sauvignon2020</v>
      </c>
      <c r="J1056">
        <f t="shared" si="68"/>
        <v>1</v>
      </c>
    </row>
    <row r="1057" spans="1:10">
      <c r="A1057" t="s">
        <v>2100</v>
      </c>
      <c r="B1057" t="s">
        <v>2101</v>
      </c>
      <c r="C1057" t="s">
        <v>30</v>
      </c>
      <c r="D1057" t="str">
        <f t="shared" si="69"/>
        <v>Domaine Alain Hudelot-Noellat Vosne-Romanée2022</v>
      </c>
      <c r="E1057">
        <f t="shared" si="67"/>
        <v>1</v>
      </c>
      <c r="F1057" t="s">
        <v>2100</v>
      </c>
      <c r="G1057" s="6" t="s">
        <v>2101</v>
      </c>
      <c r="H1057" s="5" t="s">
        <v>30</v>
      </c>
      <c r="I1057" t="str">
        <f t="shared" si="70"/>
        <v>Domaine Alain Hudelot-Noellat Vosne-Romanée2022</v>
      </c>
      <c r="J1057">
        <f t="shared" si="68"/>
        <v>1</v>
      </c>
    </row>
    <row r="1058" spans="1:10">
      <c r="A1058" t="s">
        <v>2102</v>
      </c>
      <c r="B1058" t="s">
        <v>2103</v>
      </c>
      <c r="C1058" t="s">
        <v>81</v>
      </c>
      <c r="D1058" t="str">
        <f t="shared" si="69"/>
        <v>Le Merle de Château Péby Faugères2019</v>
      </c>
      <c r="E1058">
        <f t="shared" si="67"/>
        <v>1</v>
      </c>
      <c r="F1058" t="s">
        <v>2102</v>
      </c>
      <c r="G1058" s="7" t="s">
        <v>2103</v>
      </c>
      <c r="H1058" s="5" t="s">
        <v>81</v>
      </c>
      <c r="I1058" t="str">
        <f t="shared" si="70"/>
        <v>Le Merle de Château Péby Faugères2019</v>
      </c>
      <c r="J1058">
        <f t="shared" si="68"/>
        <v>1</v>
      </c>
    </row>
    <row r="1059" spans="1:10">
      <c r="A1059" t="s">
        <v>2104</v>
      </c>
      <c r="B1059" t="s">
        <v>2105</v>
      </c>
      <c r="C1059" t="s">
        <v>81</v>
      </c>
      <c r="D1059" t="str">
        <f t="shared" si="69"/>
        <v>Château Cantemerle2019</v>
      </c>
      <c r="E1059">
        <f t="shared" si="67"/>
        <v>1</v>
      </c>
      <c r="F1059" t="s">
        <v>2104</v>
      </c>
      <c r="G1059" s="6" t="s">
        <v>2105</v>
      </c>
      <c r="H1059" s="5" t="s">
        <v>81</v>
      </c>
      <c r="I1059" t="str">
        <f t="shared" si="70"/>
        <v>Château Cantemerle2019</v>
      </c>
      <c r="J1059">
        <f t="shared" si="68"/>
        <v>1</v>
      </c>
    </row>
    <row r="1060" spans="1:10">
      <c r="A1060" t="s">
        <v>2106</v>
      </c>
      <c r="B1060" t="s">
        <v>2107</v>
      </c>
      <c r="C1060" t="s">
        <v>81</v>
      </c>
      <c r="D1060" t="str">
        <f t="shared" si="69"/>
        <v>Conti Costanti Brunello di Montalcino Riserva DOCG2019</v>
      </c>
      <c r="E1060">
        <f t="shared" si="67"/>
        <v>1</v>
      </c>
      <c r="F1060" t="s">
        <v>2106</v>
      </c>
      <c r="G1060" s="6" t="s">
        <v>2107</v>
      </c>
      <c r="H1060" s="5" t="s">
        <v>81</v>
      </c>
      <c r="I1060" t="str">
        <f t="shared" si="70"/>
        <v>Conti Costanti Brunello di Montalcino Riserva DOCG2019</v>
      </c>
      <c r="J1060">
        <f t="shared" si="68"/>
        <v>1</v>
      </c>
    </row>
    <row r="1061" spans="1:10">
      <c r="A1061" t="s">
        <v>2108</v>
      </c>
      <c r="B1061" t="s">
        <v>2109</v>
      </c>
      <c r="C1061" t="s">
        <v>710</v>
      </c>
      <c r="D1061" t="str">
        <f t="shared" si="69"/>
        <v>Domaine Francois Gaunoux Pommard 'Les Epenots' Premier Cru1999</v>
      </c>
      <c r="E1061">
        <f t="shared" si="67"/>
        <v>1</v>
      </c>
      <c r="F1061" t="s">
        <v>2108</v>
      </c>
      <c r="G1061" s="6" t="s">
        <v>2109</v>
      </c>
      <c r="H1061" s="5" t="s">
        <v>710</v>
      </c>
      <c r="I1061" t="str">
        <f t="shared" si="70"/>
        <v>Domaine Francois Gaunoux Pommard 'Les Epenots' Premier Cru1999</v>
      </c>
      <c r="J1061">
        <f t="shared" si="68"/>
        <v>1</v>
      </c>
    </row>
    <row r="1062" spans="1:10">
      <c r="A1062" t="s">
        <v>2110</v>
      </c>
      <c r="B1062" t="s">
        <v>2111</v>
      </c>
      <c r="C1062" t="s">
        <v>92</v>
      </c>
      <c r="D1062" t="str">
        <f t="shared" si="69"/>
        <v>Domaine Francois Gaunoux Pommard 'Les Grand Epenots' Premier Cru2020</v>
      </c>
      <c r="E1062">
        <f t="shared" si="67"/>
        <v>1</v>
      </c>
      <c r="F1062" t="s">
        <v>2110</v>
      </c>
      <c r="G1062" s="6" t="s">
        <v>2111</v>
      </c>
      <c r="H1062" s="5" t="s">
        <v>92</v>
      </c>
      <c r="I1062" t="str">
        <f t="shared" si="70"/>
        <v>Domaine Francois Gaunoux Pommard 'Les Grand Epenots' Premier Cru2020</v>
      </c>
      <c r="J1062">
        <f t="shared" si="68"/>
        <v>1</v>
      </c>
    </row>
    <row r="1063" spans="1:10">
      <c r="A1063" t="s">
        <v>2112</v>
      </c>
      <c r="B1063" t="s">
        <v>2113</v>
      </c>
      <c r="C1063" t="s">
        <v>30</v>
      </c>
      <c r="D1063" t="str">
        <f t="shared" si="69"/>
        <v>Jean Foillard Fleurie2022</v>
      </c>
      <c r="E1063">
        <f t="shared" si="67"/>
        <v>1</v>
      </c>
      <c r="F1063" t="s">
        <v>2112</v>
      </c>
      <c r="G1063" s="6" t="s">
        <v>2113</v>
      </c>
      <c r="H1063" s="5" t="s">
        <v>30</v>
      </c>
      <c r="I1063" t="str">
        <f t="shared" si="70"/>
        <v>Jean Foillard Fleurie2022</v>
      </c>
      <c r="J1063">
        <f t="shared" si="68"/>
        <v>1</v>
      </c>
    </row>
    <row r="1064" spans="1:10">
      <c r="A1064" t="s">
        <v>2114</v>
      </c>
      <c r="B1064" t="s">
        <v>2115</v>
      </c>
      <c r="C1064" t="s">
        <v>30</v>
      </c>
      <c r="D1064" t="str">
        <f t="shared" si="69"/>
        <v>Xavier Vignon Châteauneuf-du-Pape2022</v>
      </c>
      <c r="E1064">
        <f t="shared" si="67"/>
        <v>1</v>
      </c>
      <c r="F1064" t="s">
        <v>2114</v>
      </c>
      <c r="G1064" s="6" t="s">
        <v>2115</v>
      </c>
      <c r="H1064" s="5" t="s">
        <v>30</v>
      </c>
      <c r="I1064" t="str">
        <f t="shared" si="70"/>
        <v>Xavier Vignon Châteauneuf-du-Pape2022</v>
      </c>
      <c r="J1064">
        <f t="shared" si="68"/>
        <v>1</v>
      </c>
    </row>
    <row r="1065" spans="1:10">
      <c r="A1065" t="s">
        <v>2116</v>
      </c>
      <c r="B1065" t="s">
        <v>2105</v>
      </c>
      <c r="C1065" t="s">
        <v>125</v>
      </c>
      <c r="D1065" t="str">
        <f t="shared" si="69"/>
        <v>Château Cantemerle2008</v>
      </c>
      <c r="E1065">
        <f t="shared" si="67"/>
        <v>1</v>
      </c>
      <c r="F1065" t="s">
        <v>2116</v>
      </c>
      <c r="G1065" s="6" t="s">
        <v>2105</v>
      </c>
      <c r="H1065" s="5" t="s">
        <v>125</v>
      </c>
      <c r="I1065" t="str">
        <f t="shared" si="70"/>
        <v>Château Cantemerle2008</v>
      </c>
      <c r="J1065">
        <f t="shared" si="68"/>
        <v>1</v>
      </c>
    </row>
    <row r="1066" spans="1:10">
      <c r="A1066" t="s">
        <v>2117</v>
      </c>
      <c r="B1066" t="s">
        <v>2118</v>
      </c>
      <c r="C1066" t="s">
        <v>30</v>
      </c>
      <c r="D1066" t="str">
        <f t="shared" si="69"/>
        <v>Domaine de la Pousse d'Or Chambolle-Musigny 'Les Groseilles' Premier Cru2022</v>
      </c>
      <c r="E1066">
        <f t="shared" si="67"/>
        <v>1</v>
      </c>
      <c r="F1066" t="s">
        <v>2117</v>
      </c>
      <c r="G1066" s="6" t="s">
        <v>2118</v>
      </c>
      <c r="H1066" s="5" t="s">
        <v>30</v>
      </c>
      <c r="I1066" t="str">
        <f t="shared" si="70"/>
        <v>Domaine de la Pousse d'Or Chambolle-Musigny 'Les Groseilles' Premier Cru2022</v>
      </c>
      <c r="J1066">
        <f t="shared" si="68"/>
        <v>1</v>
      </c>
    </row>
    <row r="1067" spans="1:10">
      <c r="A1067" t="s">
        <v>2119</v>
      </c>
      <c r="B1067" t="s">
        <v>2120</v>
      </c>
      <c r="C1067" t="s">
        <v>56</v>
      </c>
      <c r="D1067" t="str">
        <f t="shared" si="69"/>
        <v>Domaine de la Pousse d'Or 'Clos des 60 Ouvrees' Amphore Premier Cru2021</v>
      </c>
      <c r="E1067">
        <f t="shared" si="67"/>
        <v>1</v>
      </c>
      <c r="F1067" t="s">
        <v>2119</v>
      </c>
      <c r="G1067" s="6" t="s">
        <v>2120</v>
      </c>
      <c r="H1067" s="5" t="s">
        <v>56</v>
      </c>
      <c r="I1067" t="str">
        <f t="shared" si="70"/>
        <v>Domaine de la Pousse d'Or 'Clos des 60 Ouvrees' Amphore Premier Cru2021</v>
      </c>
      <c r="J1067">
        <f t="shared" si="68"/>
        <v>1</v>
      </c>
    </row>
    <row r="1068" spans="1:10">
      <c r="A1068" t="s">
        <v>2121</v>
      </c>
      <c r="B1068" t="s">
        <v>2122</v>
      </c>
      <c r="C1068" t="s">
        <v>81</v>
      </c>
      <c r="D1068" t="str">
        <f t="shared" si="69"/>
        <v>Domaine Nicolas Rossignol Volnay 'Les Santenots' Premier Cru2019</v>
      </c>
      <c r="E1068">
        <f t="shared" si="67"/>
        <v>1</v>
      </c>
      <c r="F1068" t="s">
        <v>2121</v>
      </c>
      <c r="G1068" s="6" t="s">
        <v>2122</v>
      </c>
      <c r="H1068" s="5" t="s">
        <v>81</v>
      </c>
      <c r="I1068" t="str">
        <f t="shared" si="70"/>
        <v>Domaine Nicolas Rossignol Volnay 'Les Santenots' Premier Cru2019</v>
      </c>
      <c r="J1068">
        <f t="shared" si="68"/>
        <v>1</v>
      </c>
    </row>
    <row r="1069" spans="1:10">
      <c r="A1069" t="s">
        <v>2123</v>
      </c>
      <c r="B1069" t="s">
        <v>2124</v>
      </c>
      <c r="C1069" t="s">
        <v>81</v>
      </c>
      <c r="D1069" t="str">
        <f t="shared" si="69"/>
        <v>Bernard Magrez Chateau La Tour Carnet2019</v>
      </c>
      <c r="E1069">
        <f t="shared" si="67"/>
        <v>1</v>
      </c>
      <c r="F1069" t="s">
        <v>2123</v>
      </c>
      <c r="G1069" s="6" t="s">
        <v>2445</v>
      </c>
      <c r="H1069" s="5" t="s">
        <v>81</v>
      </c>
      <c r="I1069" t="str">
        <f t="shared" si="70"/>
        <v>Bernard Magrez Chateau La Tour Carnet2019</v>
      </c>
      <c r="J1069">
        <f t="shared" si="68"/>
        <v>1</v>
      </c>
    </row>
    <row r="1070" spans="1:10">
      <c r="A1070" t="s">
        <v>2125</v>
      </c>
      <c r="B1070" t="s">
        <v>2109</v>
      </c>
      <c r="C1070" t="s">
        <v>137</v>
      </c>
      <c r="D1070" t="str">
        <f t="shared" si="69"/>
        <v>Domaine Francois Gaunoux Pommard 'Les Epenots' Premier Cru2017</v>
      </c>
      <c r="E1070">
        <f t="shared" si="67"/>
        <v>1</v>
      </c>
      <c r="F1070" t="s">
        <v>2125</v>
      </c>
      <c r="G1070" s="6" t="s">
        <v>2109</v>
      </c>
      <c r="H1070" s="5" t="s">
        <v>137</v>
      </c>
      <c r="I1070" t="str">
        <f t="shared" si="70"/>
        <v>Domaine Francois Gaunoux Pommard 'Les Epenots' Premier Cru2017</v>
      </c>
      <c r="J1070">
        <f t="shared" si="68"/>
        <v>1</v>
      </c>
    </row>
    <row r="1071" spans="1:10">
      <c r="A1071" t="s">
        <v>2126</v>
      </c>
      <c r="B1071" t="s">
        <v>2127</v>
      </c>
      <c r="C1071" t="s">
        <v>222</v>
      </c>
      <c r="D1071" t="str">
        <f t="shared" si="69"/>
        <v>Château Cantemerle 'Les Allées de Cantemerle'2015</v>
      </c>
      <c r="E1071">
        <f t="shared" si="67"/>
        <v>1</v>
      </c>
      <c r="F1071" t="s">
        <v>2126</v>
      </c>
      <c r="G1071" s="6" t="s">
        <v>2127</v>
      </c>
      <c r="H1071" s="5" t="s">
        <v>222</v>
      </c>
      <c r="I1071" t="str">
        <f t="shared" si="70"/>
        <v>Château Cantemerle 'Les Allées de Cantemerle'2015</v>
      </c>
      <c r="J1071">
        <f t="shared" si="68"/>
        <v>1</v>
      </c>
    </row>
    <row r="1072" spans="1:10">
      <c r="A1072" t="s">
        <v>2128</v>
      </c>
      <c r="B1072" t="s">
        <v>2095</v>
      </c>
      <c r="C1072" t="s">
        <v>346</v>
      </c>
      <c r="D1072" t="str">
        <f t="shared" si="69"/>
        <v>Thunevin-Calvet Maury Vin Doux Naturel2004</v>
      </c>
      <c r="E1072">
        <f t="shared" si="67"/>
        <v>1</v>
      </c>
      <c r="F1072" t="s">
        <v>2128</v>
      </c>
      <c r="G1072" s="6" t="s">
        <v>2095</v>
      </c>
      <c r="H1072" s="5" t="s">
        <v>346</v>
      </c>
      <c r="I1072" t="str">
        <f t="shared" si="70"/>
        <v>Thunevin-Calvet Maury Vin Doux Naturel2004</v>
      </c>
      <c r="J1072">
        <f t="shared" si="68"/>
        <v>1</v>
      </c>
    </row>
    <row r="1073" spans="1:10">
      <c r="A1073" t="s">
        <v>2129</v>
      </c>
      <c r="B1073" t="s">
        <v>2130</v>
      </c>
      <c r="C1073" t="s">
        <v>56</v>
      </c>
      <c r="D1073" t="str">
        <f t="shared" si="69"/>
        <v>Domaine Mongeard-Mugneret Clos-de-Vougeot Grand Cru2021</v>
      </c>
      <c r="E1073">
        <f t="shared" si="67"/>
        <v>1</v>
      </c>
      <c r="F1073" t="s">
        <v>2129</v>
      </c>
      <c r="G1073" s="6" t="s">
        <v>2130</v>
      </c>
      <c r="H1073" s="5" t="s">
        <v>56</v>
      </c>
      <c r="I1073" t="str">
        <f t="shared" si="70"/>
        <v>Domaine Mongeard-Mugneret Clos-de-Vougeot Grand Cru2021</v>
      </c>
      <c r="J1073">
        <f t="shared" si="68"/>
        <v>1</v>
      </c>
    </row>
    <row r="1074" spans="1:10">
      <c r="A1074" t="s">
        <v>2131</v>
      </c>
      <c r="B1074" t="s">
        <v>2132</v>
      </c>
      <c r="C1074" t="s">
        <v>56</v>
      </c>
      <c r="D1074" t="str">
        <f t="shared" si="69"/>
        <v>Domaine Tortochot Mazis-Chambertin Grand Cru2021</v>
      </c>
      <c r="E1074">
        <f t="shared" si="67"/>
        <v>1</v>
      </c>
      <c r="F1074" t="s">
        <v>2131</v>
      </c>
      <c r="G1074" s="6" t="s">
        <v>2132</v>
      </c>
      <c r="H1074" s="5" t="s">
        <v>56</v>
      </c>
      <c r="I1074" t="str">
        <f t="shared" si="70"/>
        <v>Domaine Tortochot Mazis-Chambertin Grand Cru2021</v>
      </c>
      <c r="J1074">
        <f t="shared" si="68"/>
        <v>1</v>
      </c>
    </row>
    <row r="1075" spans="1:10">
      <c r="A1075" t="s">
        <v>2133</v>
      </c>
      <c r="B1075" t="s">
        <v>2134</v>
      </c>
      <c r="C1075" t="s">
        <v>30</v>
      </c>
      <c r="D1075" t="str">
        <f t="shared" si="69"/>
        <v>Domaine Tortochot Morey-Saint-Denis 'Renaissance' Premier Cru2022</v>
      </c>
      <c r="E1075">
        <f t="shared" si="67"/>
        <v>1</v>
      </c>
      <c r="F1075" t="s">
        <v>2133</v>
      </c>
      <c r="G1075" s="6" t="s">
        <v>2134</v>
      </c>
      <c r="H1075" s="5" t="s">
        <v>30</v>
      </c>
      <c r="I1075" t="str">
        <f t="shared" si="70"/>
        <v>Domaine Tortochot Morey-Saint-Denis 'Renaissance' Premier Cru2022</v>
      </c>
      <c r="J1075">
        <f t="shared" si="68"/>
        <v>1</v>
      </c>
    </row>
    <row r="1076" spans="1:10">
      <c r="A1076" t="s">
        <v>2135</v>
      </c>
      <c r="B1076" t="s">
        <v>2124</v>
      </c>
      <c r="C1076" t="s">
        <v>172</v>
      </c>
      <c r="D1076" t="str">
        <f t="shared" si="69"/>
        <v>Bernard Magrez Chateau La Tour Carnet2012</v>
      </c>
      <c r="E1076">
        <f t="shared" si="67"/>
        <v>1</v>
      </c>
      <c r="F1076" t="s">
        <v>2135</v>
      </c>
      <c r="G1076" s="6" t="s">
        <v>2445</v>
      </c>
      <c r="H1076" s="5" t="s">
        <v>172</v>
      </c>
      <c r="I1076" t="str">
        <f t="shared" si="70"/>
        <v>Bernard Magrez Chateau La Tour Carnet2012</v>
      </c>
      <c r="J1076">
        <f t="shared" si="68"/>
        <v>1</v>
      </c>
    </row>
    <row r="1077" spans="1:10">
      <c r="A1077" t="s">
        <v>2136</v>
      </c>
      <c r="B1077" t="s">
        <v>2137</v>
      </c>
      <c r="C1077" t="s">
        <v>56</v>
      </c>
      <c r="D1077" t="str">
        <f t="shared" si="69"/>
        <v>Penfolds Koonunga Hill 'Seventy-Six' Shiraz Cabernet Sauvignon2021</v>
      </c>
      <c r="E1077">
        <f t="shared" si="67"/>
        <v>1</v>
      </c>
      <c r="F1077" t="s">
        <v>2136</v>
      </c>
      <c r="G1077" s="6" t="s">
        <v>2137</v>
      </c>
      <c r="H1077" s="5" t="s">
        <v>56</v>
      </c>
      <c r="I1077" t="str">
        <f t="shared" si="70"/>
        <v>Penfolds Koonunga Hill 'Seventy-Six' Shiraz Cabernet Sauvignon2021</v>
      </c>
      <c r="J1077">
        <f t="shared" si="68"/>
        <v>1</v>
      </c>
    </row>
    <row r="1078" spans="1:10">
      <c r="A1078" t="s">
        <v>2138</v>
      </c>
      <c r="B1078" t="s">
        <v>889</v>
      </c>
      <c r="C1078" t="s">
        <v>222</v>
      </c>
      <c r="D1078" t="str">
        <f t="shared" si="69"/>
        <v>Château Smith Haut Lafitte2015</v>
      </c>
      <c r="E1078">
        <f t="shared" si="67"/>
        <v>1</v>
      </c>
      <c r="F1078" t="s">
        <v>2138</v>
      </c>
      <c r="G1078" s="6" t="s">
        <v>889</v>
      </c>
      <c r="H1078" s="5" t="s">
        <v>222</v>
      </c>
      <c r="I1078" t="str">
        <f t="shared" si="70"/>
        <v>Château Smith Haut Lafitte2015</v>
      </c>
      <c r="J1078">
        <f t="shared" si="68"/>
        <v>1</v>
      </c>
    </row>
    <row r="1079" spans="1:10">
      <c r="A1079" t="s">
        <v>2139</v>
      </c>
      <c r="B1079" t="s">
        <v>1336</v>
      </c>
      <c r="C1079" t="s">
        <v>118</v>
      </c>
      <c r="D1079" t="str">
        <f t="shared" si="69"/>
        <v>Château Troplong Mondot2018</v>
      </c>
      <c r="E1079">
        <f t="shared" si="67"/>
        <v>1</v>
      </c>
      <c r="F1079" t="s">
        <v>2139</v>
      </c>
      <c r="G1079" s="7" t="s">
        <v>1336</v>
      </c>
      <c r="H1079" s="5" t="s">
        <v>118</v>
      </c>
      <c r="I1079" t="str">
        <f t="shared" si="70"/>
        <v>Château Troplong Mondot2018</v>
      </c>
      <c r="J1079">
        <f t="shared" si="68"/>
        <v>1</v>
      </c>
    </row>
    <row r="1080" spans="1:10">
      <c r="A1080" t="s">
        <v>2140</v>
      </c>
      <c r="B1080" t="s">
        <v>2141</v>
      </c>
      <c r="C1080" t="s">
        <v>118</v>
      </c>
      <c r="D1080" t="str">
        <f t="shared" si="69"/>
        <v>Clos Badon Thunevin2018</v>
      </c>
      <c r="E1080">
        <f t="shared" si="67"/>
        <v>1</v>
      </c>
      <c r="F1080" t="s">
        <v>2140</v>
      </c>
      <c r="G1080" s="7" t="s">
        <v>2141</v>
      </c>
      <c r="H1080" s="5" t="s">
        <v>118</v>
      </c>
      <c r="I1080" t="str">
        <f t="shared" si="70"/>
        <v>Clos Badon Thunevin2018</v>
      </c>
      <c r="J1080">
        <f t="shared" si="68"/>
        <v>1</v>
      </c>
    </row>
    <row r="1081" spans="1:10">
      <c r="A1081" t="s">
        <v>2142</v>
      </c>
      <c r="B1081" t="s">
        <v>2025</v>
      </c>
      <c r="C1081" t="s">
        <v>92</v>
      </c>
      <c r="D1081" t="str">
        <f t="shared" si="69"/>
        <v>Conti Costanti Calbello 'Ardingo' Toscana IGT2020</v>
      </c>
      <c r="E1081">
        <f t="shared" si="67"/>
        <v>1</v>
      </c>
      <c r="F1081" t="s">
        <v>2142</v>
      </c>
      <c r="G1081" s="6" t="s">
        <v>2025</v>
      </c>
      <c r="H1081" s="5" t="s">
        <v>92</v>
      </c>
      <c r="I1081" t="str">
        <f t="shared" si="70"/>
        <v>Conti Costanti Calbello 'Ardingo' Toscana IGT2020</v>
      </c>
      <c r="J1081">
        <f t="shared" si="68"/>
        <v>1</v>
      </c>
    </row>
    <row r="1082" spans="1:10">
      <c r="A1082" t="s">
        <v>2143</v>
      </c>
      <c r="B1082" t="s">
        <v>2144</v>
      </c>
      <c r="C1082" t="s">
        <v>139</v>
      </c>
      <c r="D1082" t="str">
        <f t="shared" si="69"/>
        <v>Domaine de Chevalier 2010</v>
      </c>
      <c r="E1082">
        <f t="shared" si="67"/>
        <v>1</v>
      </c>
      <c r="F1082" t="s">
        <v>2143</v>
      </c>
      <c r="G1082" s="6" t="s">
        <v>2144</v>
      </c>
      <c r="H1082" s="5" t="s">
        <v>139</v>
      </c>
      <c r="I1082" t="str">
        <f t="shared" si="70"/>
        <v>Domaine de Chevalier 2010</v>
      </c>
      <c r="J1082">
        <f t="shared" si="68"/>
        <v>1</v>
      </c>
    </row>
    <row r="1083" spans="1:10">
      <c r="A1083" t="s">
        <v>2145</v>
      </c>
      <c r="B1083" t="s">
        <v>2146</v>
      </c>
      <c r="C1083" t="s">
        <v>81</v>
      </c>
      <c r="D1083" t="str">
        <f t="shared" si="69"/>
        <v>Château de La Tour Clos-de-Vougeot Grand Cru2019</v>
      </c>
      <c r="E1083">
        <f t="shared" si="67"/>
        <v>1</v>
      </c>
      <c r="F1083" t="s">
        <v>2145</v>
      </c>
      <c r="G1083" s="6" t="s">
        <v>2146</v>
      </c>
      <c r="H1083" s="5" t="s">
        <v>81</v>
      </c>
      <c r="I1083" t="str">
        <f t="shared" si="70"/>
        <v>Château de La Tour Clos-de-Vougeot Grand Cru2019</v>
      </c>
      <c r="J1083">
        <f t="shared" si="68"/>
        <v>1</v>
      </c>
    </row>
    <row r="1084" spans="1:10">
      <c r="A1084" t="s">
        <v>2147</v>
      </c>
      <c r="B1084" t="s">
        <v>2148</v>
      </c>
      <c r="C1084" t="s">
        <v>118</v>
      </c>
      <c r="D1084" t="str">
        <f t="shared" si="69"/>
        <v>Château d'Issan 2018</v>
      </c>
      <c r="E1084">
        <f t="shared" si="67"/>
        <v>1</v>
      </c>
      <c r="F1084" t="s">
        <v>2147</v>
      </c>
      <c r="G1084" s="6" t="s">
        <v>2148</v>
      </c>
      <c r="H1084" s="5" t="s">
        <v>118</v>
      </c>
      <c r="I1084" t="str">
        <f t="shared" si="70"/>
        <v>Château d'Issan 2018</v>
      </c>
      <c r="J1084">
        <f t="shared" si="68"/>
        <v>1</v>
      </c>
    </row>
    <row r="1085" spans="1:10">
      <c r="A1085" t="s">
        <v>2149</v>
      </c>
      <c r="B1085" t="s">
        <v>2150</v>
      </c>
      <c r="C1085" t="s">
        <v>56</v>
      </c>
      <c r="D1085" t="str">
        <f t="shared" si="69"/>
        <v>Château Leoville Poyferre2021</v>
      </c>
      <c r="E1085">
        <f t="shared" si="67"/>
        <v>1</v>
      </c>
      <c r="F1085" t="s">
        <v>2149</v>
      </c>
      <c r="G1085" s="6" t="s">
        <v>2150</v>
      </c>
      <c r="H1085" s="5" t="s">
        <v>56</v>
      </c>
      <c r="I1085" t="str">
        <f t="shared" si="70"/>
        <v>Château Leoville Poyferre2021</v>
      </c>
      <c r="J1085">
        <f t="shared" si="68"/>
        <v>1</v>
      </c>
    </row>
    <row r="1086" spans="1:10">
      <c r="A1086" t="s">
        <v>2151</v>
      </c>
      <c r="B1086" t="s">
        <v>2152</v>
      </c>
      <c r="C1086" t="s">
        <v>222</v>
      </c>
      <c r="D1086" t="str">
        <f t="shared" si="69"/>
        <v>Avignonesi Capannelle 50&amp;50 Toscana IGT2015</v>
      </c>
      <c r="E1086">
        <f t="shared" si="67"/>
        <v>1</v>
      </c>
      <c r="F1086" t="s">
        <v>2151</v>
      </c>
      <c r="G1086" s="6" t="s">
        <v>2446</v>
      </c>
      <c r="H1086" s="5" t="s">
        <v>222</v>
      </c>
      <c r="I1086" t="str">
        <f t="shared" si="70"/>
        <v>Avignonesi Capannelle 50&amp;50 Toscana IGT2015</v>
      </c>
      <c r="J1086">
        <f t="shared" si="68"/>
        <v>1</v>
      </c>
    </row>
    <row r="1087" spans="1:10">
      <c r="A1087" t="s">
        <v>2153</v>
      </c>
      <c r="B1087" t="s">
        <v>2154</v>
      </c>
      <c r="C1087" t="s">
        <v>56</v>
      </c>
      <c r="D1087" t="str">
        <f t="shared" si="69"/>
        <v>Domaine Bruno Clair Gevrey-Chambertin 'Clos du Fonteny' Monopole Premier Cru2021</v>
      </c>
      <c r="E1087">
        <f t="shared" si="67"/>
        <v>1</v>
      </c>
      <c r="F1087" t="s">
        <v>2153</v>
      </c>
      <c r="G1087" s="6" t="s">
        <v>2154</v>
      </c>
      <c r="H1087" s="5" t="s">
        <v>56</v>
      </c>
      <c r="I1087" t="str">
        <f t="shared" si="70"/>
        <v>Domaine Bruno Clair Gevrey-Chambertin 'Clos du Fonteny' Monopole Premier Cru2021</v>
      </c>
      <c r="J1087">
        <f t="shared" si="68"/>
        <v>1</v>
      </c>
    </row>
    <row r="1088" spans="1:10">
      <c r="A1088" t="s">
        <v>2155</v>
      </c>
      <c r="B1088" t="s">
        <v>2156</v>
      </c>
      <c r="C1088" t="s">
        <v>30</v>
      </c>
      <c r="D1088" t="str">
        <f t="shared" si="69"/>
        <v>Falletto di Bruno Giacosa 'Asili' Barbaresco DOCG2022</v>
      </c>
      <c r="E1088">
        <f t="shared" si="67"/>
        <v>1</v>
      </c>
      <c r="F1088" t="s">
        <v>2155</v>
      </c>
      <c r="G1088" s="6" t="s">
        <v>2156</v>
      </c>
      <c r="H1088" s="5" t="s">
        <v>30</v>
      </c>
      <c r="I1088" t="str">
        <f t="shared" si="70"/>
        <v>Falletto di Bruno Giacosa 'Asili' Barbaresco DOCG2022</v>
      </c>
      <c r="J1088">
        <f t="shared" si="68"/>
        <v>1</v>
      </c>
    </row>
    <row r="1089" spans="1:10">
      <c r="A1089" t="s">
        <v>2157</v>
      </c>
      <c r="B1089" t="s">
        <v>2158</v>
      </c>
      <c r="C1089" t="s">
        <v>92</v>
      </c>
      <c r="D1089" t="str">
        <f t="shared" si="69"/>
        <v>Falletto di Bruno Giacosa 'Falletto' Barolo DOCG2020</v>
      </c>
      <c r="E1089">
        <f t="shared" si="67"/>
        <v>1</v>
      </c>
      <c r="F1089" t="s">
        <v>2157</v>
      </c>
      <c r="G1089" s="6" t="s">
        <v>2158</v>
      </c>
      <c r="H1089" s="5" t="s">
        <v>92</v>
      </c>
      <c r="I1089" t="str">
        <f t="shared" si="70"/>
        <v>Falletto di Bruno Giacosa 'Falletto' Barolo DOCG2020</v>
      </c>
      <c r="J1089">
        <f t="shared" si="68"/>
        <v>1</v>
      </c>
    </row>
    <row r="1090" spans="1:10">
      <c r="A1090" t="s">
        <v>2159</v>
      </c>
      <c r="B1090" t="s">
        <v>2160</v>
      </c>
      <c r="C1090" t="s">
        <v>30</v>
      </c>
      <c r="D1090" t="str">
        <f t="shared" si="69"/>
        <v>Dujac Pere et Fils Chambolle-Musigny2022</v>
      </c>
      <c r="E1090">
        <f t="shared" si="67"/>
        <v>1</v>
      </c>
      <c r="F1090" t="s">
        <v>2159</v>
      </c>
      <c r="G1090" s="6" t="s">
        <v>2160</v>
      </c>
      <c r="H1090" s="5" t="s">
        <v>30</v>
      </c>
      <c r="I1090" t="str">
        <f t="shared" si="70"/>
        <v>Dujac Pere et Fils Chambolle-Musigny2022</v>
      </c>
      <c r="J1090">
        <f t="shared" si="68"/>
        <v>1</v>
      </c>
    </row>
    <row r="1091" spans="1:10">
      <c r="A1091" t="s">
        <v>2161</v>
      </c>
      <c r="B1091" t="s">
        <v>2162</v>
      </c>
      <c r="C1091" t="s">
        <v>137</v>
      </c>
      <c r="D1091" t="str">
        <f t="shared" si="69"/>
        <v>Château Montrose La Dame de Montrose2017</v>
      </c>
      <c r="E1091">
        <f t="shared" ref="E1091:E1154" si="71">IF(A1091=F1091,1,0)</f>
        <v>1</v>
      </c>
      <c r="F1091" t="s">
        <v>2161</v>
      </c>
      <c r="G1091" s="6" t="s">
        <v>2162</v>
      </c>
      <c r="H1091" s="5" t="s">
        <v>137</v>
      </c>
      <c r="I1091" t="str">
        <f t="shared" si="70"/>
        <v>Château Montrose La Dame de Montrose2017</v>
      </c>
      <c r="J1091">
        <f t="shared" ref="J1091:J1154" si="72">IF(D1091=I1091,1,0)</f>
        <v>1</v>
      </c>
    </row>
    <row r="1092" spans="1:10">
      <c r="A1092" t="s">
        <v>2163</v>
      </c>
      <c r="B1092" t="s">
        <v>2164</v>
      </c>
      <c r="C1092" t="s">
        <v>92</v>
      </c>
      <c r="D1092" t="str">
        <f t="shared" si="69"/>
        <v>Xavier Vignon 'Arcane VIII La Justice' Côtes du Rhône2020</v>
      </c>
      <c r="E1092">
        <f t="shared" si="71"/>
        <v>1</v>
      </c>
      <c r="F1092" t="s">
        <v>2163</v>
      </c>
      <c r="G1092" s="6" t="s">
        <v>2164</v>
      </c>
      <c r="H1092" s="5" t="s">
        <v>92</v>
      </c>
      <c r="I1092" t="str">
        <f t="shared" si="70"/>
        <v>Xavier Vignon 'Arcane VIII La Justice' Côtes du Rhône2020</v>
      </c>
      <c r="J1092">
        <f t="shared" si="72"/>
        <v>1</v>
      </c>
    </row>
    <row r="1093" spans="1:10">
      <c r="A1093" t="s">
        <v>2165</v>
      </c>
      <c r="B1093" t="s">
        <v>2166</v>
      </c>
      <c r="C1093" t="s">
        <v>144</v>
      </c>
      <c r="D1093" t="str">
        <f t="shared" si="69"/>
        <v>Xavier Vignon Le Petit Xavier NVNV</v>
      </c>
      <c r="E1093">
        <f t="shared" si="71"/>
        <v>1</v>
      </c>
      <c r="F1093" t="s">
        <v>2165</v>
      </c>
      <c r="G1093" s="6" t="s">
        <v>2166</v>
      </c>
      <c r="H1093" s="5" t="s">
        <v>144</v>
      </c>
      <c r="I1093" t="str">
        <f t="shared" si="70"/>
        <v>Xavier Vignon Le Petit Xavier NVNV</v>
      </c>
      <c r="J1093">
        <f t="shared" si="72"/>
        <v>1</v>
      </c>
    </row>
    <row r="1094" spans="1:10">
      <c r="A1094" t="s">
        <v>2167</v>
      </c>
      <c r="B1094" t="s">
        <v>2168</v>
      </c>
      <c r="C1094" t="s">
        <v>81</v>
      </c>
      <c r="D1094" t="str">
        <f t="shared" si="69"/>
        <v>Château de Cruzeau2019</v>
      </c>
      <c r="E1094">
        <f t="shared" si="71"/>
        <v>1</v>
      </c>
      <c r="F1094" t="s">
        <v>2167</v>
      </c>
      <c r="G1094" s="6" t="s">
        <v>2168</v>
      </c>
      <c r="H1094" s="5" t="s">
        <v>81</v>
      </c>
      <c r="I1094" t="str">
        <f t="shared" si="70"/>
        <v>Château de Cruzeau2019</v>
      </c>
      <c r="J1094">
        <f t="shared" si="72"/>
        <v>1</v>
      </c>
    </row>
    <row r="1095" spans="1:10">
      <c r="A1095" t="s">
        <v>2169</v>
      </c>
      <c r="B1095" t="s">
        <v>2170</v>
      </c>
      <c r="C1095" t="s">
        <v>222</v>
      </c>
      <c r="D1095" t="str">
        <f t="shared" ref="D1095:D1158" si="73">B1095&amp;C1095</f>
        <v>Château Rauzan-Segla2015</v>
      </c>
      <c r="E1095">
        <f t="shared" si="71"/>
        <v>1</v>
      </c>
      <c r="F1095" t="s">
        <v>2169</v>
      </c>
      <c r="G1095" s="6" t="s">
        <v>2170</v>
      </c>
      <c r="H1095" s="5" t="s">
        <v>222</v>
      </c>
      <c r="I1095" t="str">
        <f t="shared" ref="I1095:I1158" si="74">G1095&amp;H1095</f>
        <v>Château Rauzan-Segla2015</v>
      </c>
      <c r="J1095">
        <f t="shared" si="72"/>
        <v>1</v>
      </c>
    </row>
    <row r="1096" spans="1:10">
      <c r="A1096" t="s">
        <v>2171</v>
      </c>
      <c r="B1096" t="s">
        <v>2172</v>
      </c>
      <c r="C1096" t="s">
        <v>81</v>
      </c>
      <c r="D1096" t="str">
        <f t="shared" si="73"/>
        <v>Clos de Mez Morgon Château Gaillard2019</v>
      </c>
      <c r="E1096">
        <f t="shared" si="71"/>
        <v>1</v>
      </c>
      <c r="F1096" t="s">
        <v>2171</v>
      </c>
      <c r="G1096" s="6" t="s">
        <v>2172</v>
      </c>
      <c r="H1096" s="5" t="s">
        <v>81</v>
      </c>
      <c r="I1096" t="str">
        <f t="shared" si="74"/>
        <v>Clos de Mez Morgon Château Gaillard2019</v>
      </c>
      <c r="J1096">
        <f t="shared" si="72"/>
        <v>1</v>
      </c>
    </row>
    <row r="1097" spans="1:10">
      <c r="A1097" t="s">
        <v>2173</v>
      </c>
      <c r="B1097" t="s">
        <v>2174</v>
      </c>
      <c r="C1097" t="s">
        <v>129</v>
      </c>
      <c r="D1097" t="str">
        <f t="shared" si="73"/>
        <v>Domaine Confuron-Cotetidot Vosne-Romanée2016</v>
      </c>
      <c r="E1097">
        <f t="shared" si="71"/>
        <v>1</v>
      </c>
      <c r="F1097" t="s">
        <v>2173</v>
      </c>
      <c r="G1097" s="6" t="s">
        <v>2174</v>
      </c>
      <c r="H1097" s="5" t="s">
        <v>129</v>
      </c>
      <c r="I1097" t="str">
        <f t="shared" si="74"/>
        <v>Domaine Confuron-Cotetidot Vosne-Romanée2016</v>
      </c>
      <c r="J1097">
        <f t="shared" si="72"/>
        <v>1</v>
      </c>
    </row>
    <row r="1098" spans="1:10">
      <c r="A1098" t="s">
        <v>2175</v>
      </c>
      <c r="B1098" t="s">
        <v>2176</v>
      </c>
      <c r="C1098" t="s">
        <v>56</v>
      </c>
      <c r="D1098" t="str">
        <f t="shared" si="73"/>
        <v>Domaine Mongeard-Mugneret Echezeaux 'La Grande Complication' Grand Cru2021</v>
      </c>
      <c r="E1098">
        <f t="shared" si="71"/>
        <v>1</v>
      </c>
      <c r="F1098" t="s">
        <v>2175</v>
      </c>
      <c r="G1098" s="6" t="s">
        <v>2176</v>
      </c>
      <c r="H1098" s="5" t="s">
        <v>56</v>
      </c>
      <c r="I1098" t="str">
        <f t="shared" si="74"/>
        <v>Domaine Mongeard-Mugneret Echezeaux 'La Grande Complication' Grand Cru2021</v>
      </c>
      <c r="J1098">
        <f t="shared" si="72"/>
        <v>1</v>
      </c>
    </row>
    <row r="1099" spans="1:10">
      <c r="A1099" t="s">
        <v>2177</v>
      </c>
      <c r="B1099" t="s">
        <v>2178</v>
      </c>
      <c r="C1099" t="s">
        <v>81</v>
      </c>
      <c r="D1099" t="str">
        <f t="shared" si="73"/>
        <v>Domaine Nicolas Rossignol Volnay 'Ronceret' Premier Cru2019</v>
      </c>
      <c r="E1099">
        <f t="shared" si="71"/>
        <v>1</v>
      </c>
      <c r="F1099" t="s">
        <v>2177</v>
      </c>
      <c r="G1099" s="6" t="s">
        <v>2178</v>
      </c>
      <c r="H1099" s="5" t="s">
        <v>81</v>
      </c>
      <c r="I1099" t="str">
        <f t="shared" si="74"/>
        <v>Domaine Nicolas Rossignol Volnay 'Ronceret' Premier Cru2019</v>
      </c>
      <c r="J1099">
        <f t="shared" si="72"/>
        <v>1</v>
      </c>
    </row>
    <row r="1100" spans="1:10">
      <c r="A1100" t="s">
        <v>2179</v>
      </c>
      <c r="B1100" t="s">
        <v>2180</v>
      </c>
      <c r="C1100" t="s">
        <v>30</v>
      </c>
      <c r="D1100" t="str">
        <f t="shared" si="73"/>
        <v>Domaine des Lambrays Morey-Saint-Denis 'Les Loups' Premier Cru 2022</v>
      </c>
      <c r="E1100">
        <f t="shared" si="71"/>
        <v>1</v>
      </c>
      <c r="F1100" t="s">
        <v>2179</v>
      </c>
      <c r="G1100" s="6" t="s">
        <v>2180</v>
      </c>
      <c r="H1100" s="5" t="s">
        <v>30</v>
      </c>
      <c r="I1100" t="str">
        <f t="shared" si="74"/>
        <v>Domaine des Lambrays Morey-Saint-Denis 'Les Loups' Premier Cru 2022</v>
      </c>
      <c r="J1100">
        <f t="shared" si="72"/>
        <v>1</v>
      </c>
    </row>
    <row r="1101" spans="1:10">
      <c r="A1101" t="s">
        <v>2181</v>
      </c>
      <c r="B1101" t="s">
        <v>2182</v>
      </c>
      <c r="C1101" t="s">
        <v>30</v>
      </c>
      <c r="D1101" t="str">
        <f t="shared" si="73"/>
        <v>AJ Vaona Vosne-Romanée 'Les Beaux Monts' Premier Cru 2022</v>
      </c>
      <c r="E1101">
        <f t="shared" si="71"/>
        <v>1</v>
      </c>
      <c r="F1101" t="s">
        <v>2181</v>
      </c>
      <c r="G1101" s="6" t="s">
        <v>2182</v>
      </c>
      <c r="H1101" s="5" t="s">
        <v>30</v>
      </c>
      <c r="I1101" t="str">
        <f t="shared" si="74"/>
        <v>AJ Vaona Vosne-Romanée 'Les Beaux Monts' Premier Cru 2022</v>
      </c>
      <c r="J1101">
        <f t="shared" si="72"/>
        <v>1</v>
      </c>
    </row>
    <row r="1102" spans="1:10">
      <c r="A1102" t="s">
        <v>2183</v>
      </c>
      <c r="B1102" t="s">
        <v>2184</v>
      </c>
      <c r="C1102" t="s">
        <v>92</v>
      </c>
      <c r="D1102" t="str">
        <f t="shared" si="73"/>
        <v>Falletto di Bruno Giacosa 'Rabaja' Barbaresco DOCG2020</v>
      </c>
      <c r="E1102">
        <f t="shared" si="71"/>
        <v>1</v>
      </c>
      <c r="F1102" t="s">
        <v>2183</v>
      </c>
      <c r="G1102" s="6" t="s">
        <v>2184</v>
      </c>
      <c r="H1102" s="5" t="s">
        <v>92</v>
      </c>
      <c r="I1102" t="str">
        <f t="shared" si="74"/>
        <v>Falletto di Bruno Giacosa 'Rabaja' Barbaresco DOCG2020</v>
      </c>
      <c r="J1102">
        <f t="shared" si="72"/>
        <v>1</v>
      </c>
    </row>
    <row r="1103" spans="1:10">
      <c r="A1103" t="s">
        <v>2185</v>
      </c>
      <c r="B1103" t="s">
        <v>2186</v>
      </c>
      <c r="C1103" t="s">
        <v>127</v>
      </c>
      <c r="D1103" t="str">
        <f t="shared" si="73"/>
        <v>Château Calon-Ségur2009</v>
      </c>
      <c r="E1103">
        <f t="shared" si="71"/>
        <v>1</v>
      </c>
      <c r="F1103" t="s">
        <v>2185</v>
      </c>
      <c r="G1103" s="6" t="s">
        <v>2186</v>
      </c>
      <c r="H1103" s="5" t="s">
        <v>127</v>
      </c>
      <c r="I1103" t="str">
        <f t="shared" si="74"/>
        <v>Château Calon-Ségur2009</v>
      </c>
      <c r="J1103">
        <f t="shared" si="72"/>
        <v>1</v>
      </c>
    </row>
    <row r="1104" spans="1:10">
      <c r="A1104" t="s">
        <v>2187</v>
      </c>
      <c r="B1104" t="s">
        <v>2186</v>
      </c>
      <c r="C1104" t="s">
        <v>56</v>
      </c>
      <c r="D1104" t="str">
        <f t="shared" si="73"/>
        <v>Château Calon-Ségur2021</v>
      </c>
      <c r="E1104">
        <f t="shared" si="71"/>
        <v>1</v>
      </c>
      <c r="F1104" t="s">
        <v>2187</v>
      </c>
      <c r="G1104" s="6" t="s">
        <v>2186</v>
      </c>
      <c r="H1104" s="5" t="s">
        <v>56</v>
      </c>
      <c r="I1104" t="str">
        <f t="shared" si="74"/>
        <v>Château Calon-Ségur2021</v>
      </c>
      <c r="J1104">
        <f t="shared" si="72"/>
        <v>1</v>
      </c>
    </row>
    <row r="1105" spans="1:10">
      <c r="A1105" t="s">
        <v>2188</v>
      </c>
      <c r="B1105" t="s">
        <v>2189</v>
      </c>
      <c r="C1105" t="s">
        <v>81</v>
      </c>
      <c r="D1105" t="str">
        <f t="shared" si="73"/>
        <v>Château de La Tour Clos-de-Vougeot Vieilles Vignes Grand Cru2019</v>
      </c>
      <c r="E1105">
        <f t="shared" si="71"/>
        <v>1</v>
      </c>
      <c r="F1105" t="s">
        <v>2188</v>
      </c>
      <c r="G1105" s="6" t="s">
        <v>2189</v>
      </c>
      <c r="H1105" s="5" t="s">
        <v>81</v>
      </c>
      <c r="I1105" t="str">
        <f t="shared" si="74"/>
        <v>Château de La Tour Clos-de-Vougeot Vieilles Vignes Grand Cru2019</v>
      </c>
      <c r="J1105">
        <f t="shared" si="72"/>
        <v>1</v>
      </c>
    </row>
    <row r="1106" spans="1:10">
      <c r="A1106" t="s">
        <v>2190</v>
      </c>
      <c r="B1106" t="s">
        <v>2191</v>
      </c>
      <c r="C1106" t="s">
        <v>81</v>
      </c>
      <c r="D1106" t="str">
        <f t="shared" si="73"/>
        <v>Château Maro de Saint-Amant2019</v>
      </c>
      <c r="E1106">
        <f t="shared" si="71"/>
        <v>1</v>
      </c>
      <c r="F1106" t="s">
        <v>2190</v>
      </c>
      <c r="G1106" s="7" t="s">
        <v>2191</v>
      </c>
      <c r="H1106" s="5" t="s">
        <v>81</v>
      </c>
      <c r="I1106" t="str">
        <f t="shared" si="74"/>
        <v>Château Maro de Saint-Amant2019</v>
      </c>
      <c r="J1106">
        <f t="shared" si="72"/>
        <v>1</v>
      </c>
    </row>
    <row r="1107" spans="1:10">
      <c r="A1107" t="s">
        <v>2192</v>
      </c>
      <c r="B1107" t="s">
        <v>2053</v>
      </c>
      <c r="C1107" t="s">
        <v>118</v>
      </c>
      <c r="D1107" t="str">
        <f t="shared" si="73"/>
        <v>Domaine Daniel-Etienne Defaix Bourgogne Rouge2018</v>
      </c>
      <c r="E1107">
        <f t="shared" si="71"/>
        <v>1</v>
      </c>
      <c r="F1107" t="s">
        <v>2192</v>
      </c>
      <c r="G1107" s="6" t="s">
        <v>2053</v>
      </c>
      <c r="H1107" s="5" t="s">
        <v>118</v>
      </c>
      <c r="I1107" t="str">
        <f t="shared" si="74"/>
        <v>Domaine Daniel-Etienne Defaix Bourgogne Rouge2018</v>
      </c>
      <c r="J1107">
        <f t="shared" si="72"/>
        <v>1</v>
      </c>
    </row>
    <row r="1108" spans="1:10">
      <c r="A1108" t="s">
        <v>2193</v>
      </c>
      <c r="B1108" t="s">
        <v>2194</v>
      </c>
      <c r="C1108" t="s">
        <v>30</v>
      </c>
      <c r="D1108" t="str">
        <f t="shared" si="73"/>
        <v>Domaine Denis Mortet Gevrey-Chambertin Premier Cru2022</v>
      </c>
      <c r="E1108">
        <f t="shared" si="71"/>
        <v>1</v>
      </c>
      <c r="F1108" t="s">
        <v>2193</v>
      </c>
      <c r="G1108" s="6" t="s">
        <v>2194</v>
      </c>
      <c r="H1108" s="5" t="s">
        <v>30</v>
      </c>
      <c r="I1108" t="str">
        <f t="shared" si="74"/>
        <v>Domaine Denis Mortet Gevrey-Chambertin Premier Cru2022</v>
      </c>
      <c r="J1108">
        <f t="shared" si="72"/>
        <v>1</v>
      </c>
    </row>
    <row r="1109" spans="1:10">
      <c r="A1109" t="s">
        <v>2195</v>
      </c>
      <c r="B1109" t="s">
        <v>2196</v>
      </c>
      <c r="C1109" t="s">
        <v>118</v>
      </c>
      <c r="D1109" t="str">
        <f t="shared" si="73"/>
        <v>Domaine Denis Mortet Gevrey-Chambertin 'Les Champeaux' Premier Cru2018</v>
      </c>
      <c r="E1109">
        <f t="shared" si="71"/>
        <v>1</v>
      </c>
      <c r="F1109" t="s">
        <v>2195</v>
      </c>
      <c r="G1109" s="6" t="s">
        <v>2196</v>
      </c>
      <c r="H1109" s="5" t="s">
        <v>118</v>
      </c>
      <c r="I1109" t="str">
        <f t="shared" si="74"/>
        <v>Domaine Denis Mortet Gevrey-Chambertin 'Les Champeaux' Premier Cru2018</v>
      </c>
      <c r="J1109">
        <f t="shared" si="72"/>
        <v>1</v>
      </c>
    </row>
    <row r="1110" spans="1:10">
      <c r="A1110" t="s">
        <v>2197</v>
      </c>
      <c r="B1110" t="s">
        <v>2198</v>
      </c>
      <c r="C1110" t="s">
        <v>118</v>
      </c>
      <c r="D1110" t="str">
        <f t="shared" si="73"/>
        <v>Domaine de la Janasse Côtes du Rhône Villages 'Terre D'Argile'2018</v>
      </c>
      <c r="E1110">
        <f t="shared" si="71"/>
        <v>1</v>
      </c>
      <c r="F1110" t="s">
        <v>2197</v>
      </c>
      <c r="G1110" s="6" t="s">
        <v>2198</v>
      </c>
      <c r="H1110" s="5" t="s">
        <v>118</v>
      </c>
      <c r="I1110" t="str">
        <f t="shared" si="74"/>
        <v>Domaine de la Janasse Côtes du Rhône Villages 'Terre D'Argile'2018</v>
      </c>
      <c r="J1110">
        <f t="shared" si="72"/>
        <v>1</v>
      </c>
    </row>
    <row r="1111" spans="1:10">
      <c r="A1111" t="s">
        <v>2199</v>
      </c>
      <c r="B1111" t="s">
        <v>2200</v>
      </c>
      <c r="C1111" t="s">
        <v>56</v>
      </c>
      <c r="D1111" t="str">
        <f t="shared" si="73"/>
        <v>Domaine Tortochot Charmes-Chambertin Grand Cru2021</v>
      </c>
      <c r="E1111">
        <f t="shared" si="71"/>
        <v>1</v>
      </c>
      <c r="F1111" t="s">
        <v>2199</v>
      </c>
      <c r="G1111" s="6" t="s">
        <v>2200</v>
      </c>
      <c r="H1111" s="5" t="s">
        <v>56</v>
      </c>
      <c r="I1111" t="str">
        <f t="shared" si="74"/>
        <v>Domaine Tortochot Charmes-Chambertin Grand Cru2021</v>
      </c>
      <c r="J1111">
        <f t="shared" si="72"/>
        <v>1</v>
      </c>
    </row>
    <row r="1112" spans="1:10">
      <c r="A1112" t="s">
        <v>2201</v>
      </c>
      <c r="B1112" t="s">
        <v>2202</v>
      </c>
      <c r="C1112" t="s">
        <v>276</v>
      </c>
      <c r="D1112" t="str">
        <f t="shared" si="73"/>
        <v>Château Canon 1989</v>
      </c>
      <c r="E1112">
        <f t="shared" si="71"/>
        <v>1</v>
      </c>
      <c r="F1112" t="s">
        <v>2201</v>
      </c>
      <c r="G1112" s="7" t="s">
        <v>2202</v>
      </c>
      <c r="H1112" s="5" t="s">
        <v>276</v>
      </c>
      <c r="I1112" t="str">
        <f t="shared" si="74"/>
        <v>Château Canon 1989</v>
      </c>
      <c r="J1112">
        <f t="shared" si="72"/>
        <v>1</v>
      </c>
    </row>
    <row r="1113" spans="1:10">
      <c r="A1113" t="s">
        <v>2203</v>
      </c>
      <c r="B1113" t="s">
        <v>2204</v>
      </c>
      <c r="C1113" t="s">
        <v>123</v>
      </c>
      <c r="D1113" t="str">
        <f t="shared" si="73"/>
        <v>Château Le Bon Pasteur2006</v>
      </c>
      <c r="E1113">
        <f t="shared" si="71"/>
        <v>1</v>
      </c>
      <c r="F1113" t="s">
        <v>2203</v>
      </c>
      <c r="G1113" s="6" t="s">
        <v>2204</v>
      </c>
      <c r="H1113" s="5" t="s">
        <v>123</v>
      </c>
      <c r="I1113" t="str">
        <f t="shared" si="74"/>
        <v>Château Le Bon Pasteur2006</v>
      </c>
      <c r="J1113">
        <f t="shared" si="72"/>
        <v>1</v>
      </c>
    </row>
    <row r="1114" spans="1:10">
      <c r="A1114" t="s">
        <v>2205</v>
      </c>
      <c r="B1114" t="s">
        <v>2206</v>
      </c>
      <c r="C1114" t="s">
        <v>81</v>
      </c>
      <c r="D1114" t="str">
        <f t="shared" si="73"/>
        <v>M. Chapoutier Domaine de Bila-Haut Côtes du Roussillon Villages Latour de France 'Occultum Lapidem' Rouge2019</v>
      </c>
      <c r="E1114">
        <f t="shared" si="71"/>
        <v>1</v>
      </c>
      <c r="F1114" t="s">
        <v>2205</v>
      </c>
      <c r="G1114" s="6" t="s">
        <v>2206</v>
      </c>
      <c r="H1114" s="5" t="s">
        <v>81</v>
      </c>
      <c r="I1114" t="str">
        <f t="shared" si="74"/>
        <v>M. Chapoutier Domaine de Bila-Haut Côtes du Roussillon Villages Latour de France 'Occultum Lapidem' Rouge2019</v>
      </c>
      <c r="J1114">
        <f t="shared" si="72"/>
        <v>1</v>
      </c>
    </row>
    <row r="1115" spans="1:10">
      <c r="A1115" t="s">
        <v>2207</v>
      </c>
      <c r="B1115" t="s">
        <v>2208</v>
      </c>
      <c r="C1115" t="s">
        <v>30</v>
      </c>
      <c r="D1115" t="str">
        <f t="shared" si="73"/>
        <v>Domaine Jean-Marc Pillot Chassagne-Montrachet 'Clos Saint-Jean' Premier Cru Rouge2022</v>
      </c>
      <c r="E1115">
        <f t="shared" si="71"/>
        <v>1</v>
      </c>
      <c r="F1115" t="s">
        <v>2207</v>
      </c>
      <c r="G1115" s="6" t="s">
        <v>2208</v>
      </c>
      <c r="H1115" s="5" t="s">
        <v>30</v>
      </c>
      <c r="I1115" t="str">
        <f t="shared" si="74"/>
        <v>Domaine Jean-Marc Pillot Chassagne-Montrachet 'Clos Saint-Jean' Premier Cru Rouge2022</v>
      </c>
      <c r="J1115">
        <f t="shared" si="72"/>
        <v>1</v>
      </c>
    </row>
    <row r="1116" spans="1:10">
      <c r="A1116" t="s">
        <v>2209</v>
      </c>
      <c r="B1116" t="s">
        <v>2210</v>
      </c>
      <c r="C1116" t="s">
        <v>56</v>
      </c>
      <c r="D1116" t="str">
        <f t="shared" si="73"/>
        <v>Domaine Tortochot Chambertin Grand Cru2021</v>
      </c>
      <c r="E1116">
        <f t="shared" si="71"/>
        <v>1</v>
      </c>
      <c r="F1116" t="s">
        <v>2209</v>
      </c>
      <c r="G1116" s="6" t="s">
        <v>2210</v>
      </c>
      <c r="H1116" s="5" t="s">
        <v>56</v>
      </c>
      <c r="I1116" t="str">
        <f t="shared" si="74"/>
        <v>Domaine Tortochot Chambertin Grand Cru2021</v>
      </c>
      <c r="J1116">
        <f t="shared" si="72"/>
        <v>1</v>
      </c>
    </row>
    <row r="1117" spans="1:10">
      <c r="A1117" t="s">
        <v>2211</v>
      </c>
      <c r="B1117" t="s">
        <v>2212</v>
      </c>
      <c r="C1117" t="s">
        <v>56</v>
      </c>
      <c r="D1117" t="str">
        <f t="shared" si="73"/>
        <v>John Duval Wines 'Plexus' Shiraz-Grenache-Mourvedre2021</v>
      </c>
      <c r="E1117">
        <f t="shared" si="71"/>
        <v>1</v>
      </c>
      <c r="F1117" t="s">
        <v>2211</v>
      </c>
      <c r="G1117" s="6" t="s">
        <v>2212</v>
      </c>
      <c r="H1117" s="5" t="s">
        <v>56</v>
      </c>
      <c r="I1117" t="str">
        <f t="shared" si="74"/>
        <v>John Duval Wines 'Plexus' Shiraz-Grenache-Mourvedre2021</v>
      </c>
      <c r="J1117">
        <f t="shared" si="72"/>
        <v>1</v>
      </c>
    </row>
    <row r="1118" spans="1:10">
      <c r="A1118" t="s">
        <v>2213</v>
      </c>
      <c r="B1118" t="s">
        <v>2214</v>
      </c>
      <c r="C1118" t="s">
        <v>118</v>
      </c>
      <c r="D1118" t="str">
        <f t="shared" si="73"/>
        <v>Château Cheval Blanc 'Le Petit Cheval' 2018</v>
      </c>
      <c r="E1118">
        <f t="shared" si="71"/>
        <v>1</v>
      </c>
      <c r="F1118" t="s">
        <v>2213</v>
      </c>
      <c r="G1118" s="7" t="s">
        <v>2214</v>
      </c>
      <c r="H1118" s="5" t="s">
        <v>118</v>
      </c>
      <c r="I1118" t="str">
        <f t="shared" si="74"/>
        <v>Château Cheval Blanc 'Le Petit Cheval' 2018</v>
      </c>
      <c r="J1118">
        <f t="shared" si="72"/>
        <v>1</v>
      </c>
    </row>
    <row r="1119" spans="1:10">
      <c r="A1119" t="s">
        <v>2215</v>
      </c>
      <c r="B1119" t="s">
        <v>2216</v>
      </c>
      <c r="C1119" t="s">
        <v>222</v>
      </c>
      <c r="D1119" t="str">
        <f t="shared" si="73"/>
        <v>Ruffino Riserva 'Ducale Oro' Chianti Classico Gran Selezione DOCG2015</v>
      </c>
      <c r="E1119">
        <f t="shared" si="71"/>
        <v>1</v>
      </c>
      <c r="F1119" t="s">
        <v>2215</v>
      </c>
      <c r="G1119" s="6" t="s">
        <v>2216</v>
      </c>
      <c r="H1119" s="5" t="s">
        <v>222</v>
      </c>
      <c r="I1119" t="str">
        <f t="shared" si="74"/>
        <v>Ruffino Riserva 'Ducale Oro' Chianti Classico Gran Selezione DOCG2015</v>
      </c>
      <c r="J1119">
        <f t="shared" si="72"/>
        <v>1</v>
      </c>
    </row>
    <row r="1120" spans="1:10">
      <c r="A1120" t="s">
        <v>2217</v>
      </c>
      <c r="B1120" t="s">
        <v>2218</v>
      </c>
      <c r="C1120" t="s">
        <v>92</v>
      </c>
      <c r="D1120" t="str">
        <f t="shared" si="73"/>
        <v>Bodegas Roda Reserva2020</v>
      </c>
      <c r="E1120">
        <f t="shared" si="71"/>
        <v>1</v>
      </c>
      <c r="F1120" t="s">
        <v>2217</v>
      </c>
      <c r="G1120" s="8" t="s">
        <v>2447</v>
      </c>
      <c r="H1120" s="5" t="s">
        <v>92</v>
      </c>
      <c r="I1120" t="str">
        <f t="shared" si="74"/>
        <v>Bodegas Roda Reserva2020</v>
      </c>
      <c r="J1120">
        <f t="shared" si="72"/>
        <v>1</v>
      </c>
    </row>
    <row r="1121" spans="1:10">
      <c r="A1121" t="s">
        <v>2219</v>
      </c>
      <c r="B1121" t="s">
        <v>2220</v>
      </c>
      <c r="C1121" t="s">
        <v>56</v>
      </c>
      <c r="D1121" t="str">
        <f t="shared" si="73"/>
        <v>Château Langoa-Barton2021</v>
      </c>
      <c r="E1121">
        <f t="shared" si="71"/>
        <v>1</v>
      </c>
      <c r="F1121" t="s">
        <v>2219</v>
      </c>
      <c r="G1121" s="6" t="s">
        <v>2220</v>
      </c>
      <c r="H1121" s="5" t="s">
        <v>56</v>
      </c>
      <c r="I1121" t="str">
        <f t="shared" si="74"/>
        <v>Château Langoa-Barton2021</v>
      </c>
      <c r="J1121">
        <f t="shared" si="72"/>
        <v>1</v>
      </c>
    </row>
    <row r="1122" spans="1:10">
      <c r="A1122" t="s">
        <v>2221</v>
      </c>
      <c r="B1122" t="s">
        <v>2222</v>
      </c>
      <c r="C1122" t="s">
        <v>56</v>
      </c>
      <c r="D1122" t="str">
        <f t="shared" si="73"/>
        <v>Château Pavie Macquin2021</v>
      </c>
      <c r="E1122">
        <f t="shared" si="71"/>
        <v>1</v>
      </c>
      <c r="F1122" t="s">
        <v>2221</v>
      </c>
      <c r="G1122" s="7" t="s">
        <v>2222</v>
      </c>
      <c r="H1122" s="5" t="s">
        <v>56</v>
      </c>
      <c r="I1122" t="str">
        <f t="shared" si="74"/>
        <v>Château Pavie Macquin2021</v>
      </c>
      <c r="J1122">
        <f t="shared" si="72"/>
        <v>1</v>
      </c>
    </row>
    <row r="1123" spans="1:10">
      <c r="A1123" t="s">
        <v>2223</v>
      </c>
      <c r="B1123" t="s">
        <v>2071</v>
      </c>
      <c r="C1123" t="s">
        <v>139</v>
      </c>
      <c r="D1123" t="str">
        <f t="shared" si="73"/>
        <v>Château Valandraud2010</v>
      </c>
      <c r="E1123">
        <f t="shared" si="71"/>
        <v>1</v>
      </c>
      <c r="F1123" t="s">
        <v>2223</v>
      </c>
      <c r="G1123" s="7" t="s">
        <v>2071</v>
      </c>
      <c r="H1123" s="5" t="s">
        <v>139</v>
      </c>
      <c r="I1123" t="str">
        <f t="shared" si="74"/>
        <v>Château Valandraud2010</v>
      </c>
      <c r="J1123">
        <f t="shared" si="72"/>
        <v>1</v>
      </c>
    </row>
    <row r="1124" spans="1:10">
      <c r="A1124" t="s">
        <v>2224</v>
      </c>
      <c r="B1124" t="s">
        <v>2225</v>
      </c>
      <c r="C1124" t="s">
        <v>222</v>
      </c>
      <c r="D1124" t="str">
        <f t="shared" si="73"/>
        <v>Domaine de la Pousse d'Or Clos de la Roche Grand Cru2015</v>
      </c>
      <c r="E1124">
        <f t="shared" si="71"/>
        <v>1</v>
      </c>
      <c r="F1124" t="s">
        <v>2224</v>
      </c>
      <c r="G1124" s="6" t="s">
        <v>2225</v>
      </c>
      <c r="H1124" s="5" t="s">
        <v>222</v>
      </c>
      <c r="I1124" t="str">
        <f t="shared" si="74"/>
        <v>Domaine de la Pousse d'Or Clos de la Roche Grand Cru2015</v>
      </c>
      <c r="J1124">
        <f t="shared" si="72"/>
        <v>1</v>
      </c>
    </row>
    <row r="1125" spans="1:10">
      <c r="A1125" t="s">
        <v>2226</v>
      </c>
      <c r="B1125" t="s">
        <v>2227</v>
      </c>
      <c r="C1125" t="s">
        <v>56</v>
      </c>
      <c r="D1125" t="str">
        <f t="shared" si="73"/>
        <v>Domaine d'Eugenie Vosne-Romanee2021</v>
      </c>
      <c r="E1125">
        <f t="shared" si="71"/>
        <v>1</v>
      </c>
      <c r="F1125" t="s">
        <v>2226</v>
      </c>
      <c r="G1125" s="6" t="s">
        <v>2227</v>
      </c>
      <c r="H1125" s="5" t="s">
        <v>56</v>
      </c>
      <c r="I1125" t="str">
        <f t="shared" si="74"/>
        <v>Domaine d'Eugenie Vosne-Romanee2021</v>
      </c>
      <c r="J1125">
        <f t="shared" si="72"/>
        <v>1</v>
      </c>
    </row>
    <row r="1126" spans="1:10">
      <c r="A1126" t="s">
        <v>2228</v>
      </c>
      <c r="B1126" t="s">
        <v>2229</v>
      </c>
      <c r="C1126" t="s">
        <v>56</v>
      </c>
      <c r="D1126" t="str">
        <f t="shared" si="73"/>
        <v>Domaine Mongeard-Mugneret Grands Echezeaux Grand Cru2021</v>
      </c>
      <c r="E1126">
        <f t="shared" si="71"/>
        <v>1</v>
      </c>
      <c r="F1126" t="s">
        <v>2228</v>
      </c>
      <c r="G1126" s="6" t="s">
        <v>2229</v>
      </c>
      <c r="H1126" s="5" t="s">
        <v>56</v>
      </c>
      <c r="I1126" t="str">
        <f t="shared" si="74"/>
        <v>Domaine Mongeard-Mugneret Grands Echezeaux Grand Cru2021</v>
      </c>
      <c r="J1126">
        <f t="shared" si="72"/>
        <v>1</v>
      </c>
    </row>
    <row r="1127" spans="1:10">
      <c r="A1127" t="s">
        <v>2230</v>
      </c>
      <c r="B1127" t="s">
        <v>2231</v>
      </c>
      <c r="C1127" t="s">
        <v>129</v>
      </c>
      <c r="D1127" t="str">
        <f t="shared" si="73"/>
        <v>Domaine Georges Noellat Vosne-Romanee 'Les Petits Monts' Premier Cru2016</v>
      </c>
      <c r="E1127">
        <f t="shared" si="71"/>
        <v>1</v>
      </c>
      <c r="F1127" t="s">
        <v>2230</v>
      </c>
      <c r="G1127" s="6" t="s">
        <v>2231</v>
      </c>
      <c r="H1127" s="5" t="s">
        <v>129</v>
      </c>
      <c r="I1127" t="str">
        <f t="shared" si="74"/>
        <v>Domaine Georges Noellat Vosne-Romanee 'Les Petits Monts' Premier Cru2016</v>
      </c>
      <c r="J1127">
        <f t="shared" si="72"/>
        <v>1</v>
      </c>
    </row>
    <row r="1128" spans="1:10">
      <c r="A1128" t="s">
        <v>2232</v>
      </c>
      <c r="B1128" t="s">
        <v>2233</v>
      </c>
      <c r="C1128" t="s">
        <v>81</v>
      </c>
      <c r="D1128" t="str">
        <f t="shared" si="73"/>
        <v>Bodegas Muga Seleccion Especial Reserva2019</v>
      </c>
      <c r="E1128">
        <f t="shared" si="71"/>
        <v>1</v>
      </c>
      <c r="F1128" t="s">
        <v>2232</v>
      </c>
      <c r="G1128" s="6" t="s">
        <v>2448</v>
      </c>
      <c r="H1128" s="5" t="s">
        <v>81</v>
      </c>
      <c r="I1128" t="str">
        <f t="shared" si="74"/>
        <v>Bodegas Muga Seleccion Especial Reserva2019</v>
      </c>
      <c r="J1128">
        <f t="shared" si="72"/>
        <v>1</v>
      </c>
    </row>
    <row r="1129" spans="1:10">
      <c r="A1129" t="s">
        <v>2234</v>
      </c>
      <c r="B1129" t="s">
        <v>2235</v>
      </c>
      <c r="C1129" t="s">
        <v>92</v>
      </c>
      <c r="D1129" t="str">
        <f t="shared" si="73"/>
        <v>Xavier Vignon Châteauneuf-du-Pape 'Cuvee Anonyme'2020</v>
      </c>
      <c r="E1129">
        <f t="shared" si="71"/>
        <v>1</v>
      </c>
      <c r="F1129" t="s">
        <v>2234</v>
      </c>
      <c r="G1129" s="6" t="s">
        <v>2235</v>
      </c>
      <c r="H1129" s="5" t="s">
        <v>92</v>
      </c>
      <c r="I1129" t="str">
        <f t="shared" si="74"/>
        <v>Xavier Vignon Châteauneuf-du-Pape 'Cuvee Anonyme'2020</v>
      </c>
      <c r="J1129">
        <f t="shared" si="72"/>
        <v>1</v>
      </c>
    </row>
    <row r="1130" spans="1:10">
      <c r="A1130" t="s">
        <v>2236</v>
      </c>
      <c r="B1130" t="s">
        <v>2152</v>
      </c>
      <c r="C1130" t="s">
        <v>172</v>
      </c>
      <c r="D1130" t="str">
        <f t="shared" si="73"/>
        <v>Avignonesi Capannelle 50&amp;50 Toscana IGT2012</v>
      </c>
      <c r="E1130">
        <f t="shared" si="71"/>
        <v>1</v>
      </c>
      <c r="F1130" t="s">
        <v>2236</v>
      </c>
      <c r="G1130" s="6" t="s">
        <v>2446</v>
      </c>
      <c r="H1130" s="5" t="s">
        <v>172</v>
      </c>
      <c r="I1130" t="str">
        <f t="shared" si="74"/>
        <v>Avignonesi Capannelle 50&amp;50 Toscana IGT2012</v>
      </c>
      <c r="J1130">
        <f t="shared" si="72"/>
        <v>1</v>
      </c>
    </row>
    <row r="1131" spans="1:10">
      <c r="A1131" t="s">
        <v>2237</v>
      </c>
      <c r="B1131" t="s">
        <v>2238</v>
      </c>
      <c r="C1131" t="s">
        <v>114</v>
      </c>
      <c r="D1131" t="str">
        <f t="shared" si="73"/>
        <v>Domaine Arnoux-Lachaux Echézeaux 'Les Rouges' Grand Cru2014</v>
      </c>
      <c r="E1131">
        <f t="shared" si="71"/>
        <v>1</v>
      </c>
      <c r="F1131" t="s">
        <v>2237</v>
      </c>
      <c r="G1131" s="6" t="s">
        <v>2238</v>
      </c>
      <c r="H1131" s="5" t="s">
        <v>114</v>
      </c>
      <c r="I1131" t="str">
        <f t="shared" si="74"/>
        <v>Domaine Arnoux-Lachaux Echézeaux 'Les Rouges' Grand Cru2014</v>
      </c>
      <c r="J1131">
        <f t="shared" si="72"/>
        <v>1</v>
      </c>
    </row>
    <row r="1132" spans="1:10">
      <c r="A1132" t="s">
        <v>2239</v>
      </c>
      <c r="B1132" t="s">
        <v>2240</v>
      </c>
      <c r="C1132" t="s">
        <v>133</v>
      </c>
      <c r="D1132" t="str">
        <f t="shared" si="73"/>
        <v>Domaine Auguste Clape Cornas2007</v>
      </c>
      <c r="E1132">
        <f t="shared" si="71"/>
        <v>1</v>
      </c>
      <c r="F1132" t="s">
        <v>2239</v>
      </c>
      <c r="G1132" s="6" t="s">
        <v>2240</v>
      </c>
      <c r="H1132" s="5" t="s">
        <v>133</v>
      </c>
      <c r="I1132" t="str">
        <f t="shared" si="74"/>
        <v>Domaine Auguste Clape Cornas2007</v>
      </c>
      <c r="J1132">
        <f t="shared" si="72"/>
        <v>1</v>
      </c>
    </row>
    <row r="1133" spans="1:10">
      <c r="A1133" t="s">
        <v>2241</v>
      </c>
      <c r="B1133" t="s">
        <v>2242</v>
      </c>
      <c r="C1133" t="s">
        <v>139</v>
      </c>
      <c r="D1133" t="str">
        <f t="shared" si="73"/>
        <v>Casanova di Neri 'Tenuta Nuova' Brunello di Montalcino DOCG2010</v>
      </c>
      <c r="E1133">
        <f t="shared" si="71"/>
        <v>1</v>
      </c>
      <c r="F1133" t="s">
        <v>2241</v>
      </c>
      <c r="G1133" s="6" t="s">
        <v>2242</v>
      </c>
      <c r="H1133" s="5" t="s">
        <v>139</v>
      </c>
      <c r="I1133" t="str">
        <f t="shared" si="74"/>
        <v>Casanova di Neri 'Tenuta Nuova' Brunello di Montalcino DOCG2010</v>
      </c>
      <c r="J1133">
        <f t="shared" si="72"/>
        <v>1</v>
      </c>
    </row>
    <row r="1134" spans="1:10">
      <c r="A1134" t="s">
        <v>2243</v>
      </c>
      <c r="B1134" t="s">
        <v>2105</v>
      </c>
      <c r="C1134" t="s">
        <v>118</v>
      </c>
      <c r="D1134" t="str">
        <f t="shared" si="73"/>
        <v>Château Cantemerle2018</v>
      </c>
      <c r="E1134">
        <f t="shared" si="71"/>
        <v>1</v>
      </c>
      <c r="F1134" t="s">
        <v>2243</v>
      </c>
      <c r="G1134" s="6" t="s">
        <v>2105</v>
      </c>
      <c r="H1134" s="5" t="s">
        <v>118</v>
      </c>
      <c r="I1134" t="str">
        <f t="shared" si="74"/>
        <v>Château Cantemerle2018</v>
      </c>
      <c r="J1134">
        <f t="shared" si="72"/>
        <v>1</v>
      </c>
    </row>
    <row r="1135" spans="1:10">
      <c r="A1135" t="s">
        <v>2244</v>
      </c>
      <c r="B1135" t="s">
        <v>2245</v>
      </c>
      <c r="C1135" t="s">
        <v>713</v>
      </c>
      <c r="D1135" t="str">
        <f t="shared" si="73"/>
        <v>Château Clos de Sarpe2000</v>
      </c>
      <c r="E1135">
        <f t="shared" si="71"/>
        <v>1</v>
      </c>
      <c r="F1135" t="s">
        <v>2244</v>
      </c>
      <c r="G1135" s="7" t="s">
        <v>2245</v>
      </c>
      <c r="H1135" s="5" t="s">
        <v>713</v>
      </c>
      <c r="I1135" t="str">
        <f t="shared" si="74"/>
        <v>Château Clos de Sarpe2000</v>
      </c>
      <c r="J1135">
        <f t="shared" si="72"/>
        <v>1</v>
      </c>
    </row>
    <row r="1136" spans="1:10">
      <c r="A1136" t="s">
        <v>2246</v>
      </c>
      <c r="B1136" t="s">
        <v>866</v>
      </c>
      <c r="C1136" t="s">
        <v>114</v>
      </c>
      <c r="D1136" t="str">
        <f t="shared" si="73"/>
        <v>Château Lagrange2014</v>
      </c>
      <c r="E1136">
        <f t="shared" si="71"/>
        <v>1</v>
      </c>
      <c r="F1136" t="s">
        <v>2246</v>
      </c>
      <c r="G1136" s="6" t="s">
        <v>866</v>
      </c>
      <c r="H1136" s="5" t="s">
        <v>114</v>
      </c>
      <c r="I1136" t="str">
        <f t="shared" si="74"/>
        <v>Château Lagrange2014</v>
      </c>
      <c r="J1136">
        <f t="shared" si="72"/>
        <v>1</v>
      </c>
    </row>
    <row r="1137" spans="1:10">
      <c r="A1137" t="s">
        <v>2247</v>
      </c>
      <c r="B1137" t="s">
        <v>2248</v>
      </c>
      <c r="C1137" t="s">
        <v>118</v>
      </c>
      <c r="D1137" t="str">
        <f t="shared" si="73"/>
        <v>Château Valandraud 'Virginie de Valandraud'2018</v>
      </c>
      <c r="E1137">
        <f t="shared" si="71"/>
        <v>1</v>
      </c>
      <c r="F1137" t="s">
        <v>2247</v>
      </c>
      <c r="G1137" s="7" t="s">
        <v>2248</v>
      </c>
      <c r="H1137" s="5" t="s">
        <v>118</v>
      </c>
      <c r="I1137" t="str">
        <f t="shared" si="74"/>
        <v>Château Valandraud 'Virginie de Valandraud'2018</v>
      </c>
      <c r="J1137">
        <f t="shared" si="72"/>
        <v>1</v>
      </c>
    </row>
    <row r="1138" spans="1:10">
      <c r="A1138" t="s">
        <v>2249</v>
      </c>
      <c r="B1138" t="s">
        <v>2250</v>
      </c>
      <c r="C1138" t="s">
        <v>273</v>
      </c>
      <c r="D1138" t="str">
        <f t="shared" si="73"/>
        <v>Cullen Diana Madeline2005</v>
      </c>
      <c r="E1138">
        <f t="shared" si="71"/>
        <v>1</v>
      </c>
      <c r="F1138" t="s">
        <v>2249</v>
      </c>
      <c r="G1138" s="6" t="s">
        <v>2250</v>
      </c>
      <c r="H1138" s="5" t="s">
        <v>273</v>
      </c>
      <c r="I1138" t="str">
        <f t="shared" si="74"/>
        <v>Cullen Diana Madeline2005</v>
      </c>
      <c r="J1138">
        <f t="shared" si="72"/>
        <v>1</v>
      </c>
    </row>
    <row r="1139" spans="1:10">
      <c r="A1139" t="s">
        <v>2251</v>
      </c>
      <c r="B1139" t="s">
        <v>2252</v>
      </c>
      <c r="C1139" t="s">
        <v>239</v>
      </c>
      <c r="D1139" t="str">
        <f t="shared" si="73"/>
        <v>Domaine Arnoux-Lachaux Latricieres-Chambertin Grand Cru2011</v>
      </c>
      <c r="E1139">
        <f t="shared" si="71"/>
        <v>1</v>
      </c>
      <c r="F1139" t="s">
        <v>2251</v>
      </c>
      <c r="G1139" s="6" t="s">
        <v>2252</v>
      </c>
      <c r="H1139" s="5" t="s">
        <v>239</v>
      </c>
      <c r="I1139" t="str">
        <f t="shared" si="74"/>
        <v>Domaine Arnoux-Lachaux Latricieres-Chambertin Grand Cru2011</v>
      </c>
      <c r="J1139">
        <f t="shared" si="72"/>
        <v>1</v>
      </c>
    </row>
    <row r="1140" spans="1:10">
      <c r="A1140" t="s">
        <v>2253</v>
      </c>
      <c r="B1140" t="s">
        <v>2254</v>
      </c>
      <c r="C1140" t="s">
        <v>81</v>
      </c>
      <c r="D1140" t="str">
        <f t="shared" si="73"/>
        <v>Domaine Fourrier Vougeots 'Les Petits Vougeots' Vieilles Vignes Premier Cru2019</v>
      </c>
      <c r="E1140">
        <f t="shared" si="71"/>
        <v>1</v>
      </c>
      <c r="F1140" t="s">
        <v>2253</v>
      </c>
      <c r="G1140" s="6" t="s">
        <v>2254</v>
      </c>
      <c r="H1140" s="5" t="s">
        <v>81</v>
      </c>
      <c r="I1140" t="str">
        <f t="shared" si="74"/>
        <v>Domaine Fourrier Vougeots 'Les Petits Vougeots' Vieilles Vignes Premier Cru2019</v>
      </c>
      <c r="J1140">
        <f t="shared" si="72"/>
        <v>1</v>
      </c>
    </row>
    <row r="1141" spans="1:10">
      <c r="A1141" t="s">
        <v>2255</v>
      </c>
      <c r="B1141" t="s">
        <v>2256</v>
      </c>
      <c r="C1141" t="s">
        <v>129</v>
      </c>
      <c r="D1141" t="str">
        <f t="shared" si="73"/>
        <v>Domaine Prieure Roch Vosne-Romanee 'Les Clous'2016</v>
      </c>
      <c r="E1141">
        <f t="shared" si="71"/>
        <v>1</v>
      </c>
      <c r="F1141" t="s">
        <v>2255</v>
      </c>
      <c r="G1141" s="6" t="s">
        <v>2256</v>
      </c>
      <c r="H1141" s="5" t="s">
        <v>129</v>
      </c>
      <c r="I1141" t="str">
        <f t="shared" si="74"/>
        <v>Domaine Prieure Roch Vosne-Romanee 'Les Clous'2016</v>
      </c>
      <c r="J1141">
        <f t="shared" si="72"/>
        <v>1</v>
      </c>
    </row>
    <row r="1142" spans="1:10">
      <c r="A1142" t="s">
        <v>2257</v>
      </c>
      <c r="B1142" t="s">
        <v>2258</v>
      </c>
      <c r="C1142" t="s">
        <v>133</v>
      </c>
      <c r="D1142" t="str">
        <f t="shared" si="73"/>
        <v>Domaine Raymond Usseglio &amp; Fils Châteauneuf-du-Pape 'Cuvée Impériale'2007</v>
      </c>
      <c r="E1142">
        <f t="shared" si="71"/>
        <v>1</v>
      </c>
      <c r="F1142" t="s">
        <v>2257</v>
      </c>
      <c r="G1142" s="6" t="s">
        <v>2258</v>
      </c>
      <c r="H1142" s="5" t="s">
        <v>133</v>
      </c>
      <c r="I1142" t="str">
        <f t="shared" si="74"/>
        <v>Domaine Raymond Usseglio &amp; Fils Châteauneuf-du-Pape 'Cuvée Impériale'2007</v>
      </c>
      <c r="J1142">
        <f t="shared" si="72"/>
        <v>1</v>
      </c>
    </row>
    <row r="1143" spans="1:10">
      <c r="A1143" t="s">
        <v>2259</v>
      </c>
      <c r="B1143" t="s">
        <v>2260</v>
      </c>
      <c r="C1143" t="s">
        <v>56</v>
      </c>
      <c r="D1143" t="str">
        <f t="shared" si="73"/>
        <v>Domaine Tortochot Bourgogne 'Cuvée Fine Sélection' Pinot Noir2021</v>
      </c>
      <c r="E1143">
        <f t="shared" si="71"/>
        <v>1</v>
      </c>
      <c r="F1143" t="s">
        <v>2259</v>
      </c>
      <c r="G1143" s="6" t="s">
        <v>2260</v>
      </c>
      <c r="H1143" s="5" t="s">
        <v>56</v>
      </c>
      <c r="I1143" t="str">
        <f t="shared" si="74"/>
        <v>Domaine Tortochot Bourgogne 'Cuvée Fine Sélection' Pinot Noir2021</v>
      </c>
      <c r="J1143">
        <f t="shared" si="72"/>
        <v>1</v>
      </c>
    </row>
    <row r="1144" spans="1:10">
      <c r="A1144" t="s">
        <v>2261</v>
      </c>
      <c r="B1144" t="s">
        <v>2262</v>
      </c>
      <c r="C1144" t="s">
        <v>56</v>
      </c>
      <c r="D1144" t="str">
        <f t="shared" si="73"/>
        <v>Domaine Tortochot Clos-de-Vougeot Grand Cru2021</v>
      </c>
      <c r="E1144">
        <f t="shared" si="71"/>
        <v>1</v>
      </c>
      <c r="F1144" t="s">
        <v>2261</v>
      </c>
      <c r="G1144" s="6" t="s">
        <v>2262</v>
      </c>
      <c r="H1144" s="5" t="s">
        <v>56</v>
      </c>
      <c r="I1144" t="str">
        <f t="shared" si="74"/>
        <v>Domaine Tortochot Clos-de-Vougeot Grand Cru2021</v>
      </c>
      <c r="J1144">
        <f t="shared" si="72"/>
        <v>1</v>
      </c>
    </row>
    <row r="1145" spans="1:10">
      <c r="A1145" t="s">
        <v>2263</v>
      </c>
      <c r="B1145" t="s">
        <v>2264</v>
      </c>
      <c r="C1145" t="s">
        <v>118</v>
      </c>
      <c r="D1145" t="str">
        <f t="shared" si="73"/>
        <v>Domaine Virginie Thunevin2018</v>
      </c>
      <c r="E1145">
        <f t="shared" si="71"/>
        <v>1</v>
      </c>
      <c r="F1145" t="s">
        <v>2263</v>
      </c>
      <c r="G1145" s="6" t="s">
        <v>2264</v>
      </c>
      <c r="H1145" s="5" t="s">
        <v>118</v>
      </c>
      <c r="I1145" t="str">
        <f t="shared" si="74"/>
        <v>Domaine Virginie Thunevin2018</v>
      </c>
      <c r="J1145">
        <f t="shared" si="72"/>
        <v>1</v>
      </c>
    </row>
    <row r="1146" spans="1:10">
      <c r="A1146" t="s">
        <v>2265</v>
      </c>
      <c r="B1146" t="s">
        <v>466</v>
      </c>
      <c r="C1146" t="s">
        <v>129</v>
      </c>
      <c r="D1146" t="str">
        <f t="shared" si="73"/>
        <v>Domaine Dugat-Py Gevrey-Chambertin 'Petite Chapelle' Premier Cru2016</v>
      </c>
      <c r="E1146">
        <f t="shared" si="71"/>
        <v>1</v>
      </c>
      <c r="F1146" t="s">
        <v>2265</v>
      </c>
      <c r="G1146" s="6" t="s">
        <v>466</v>
      </c>
      <c r="H1146" s="5" t="s">
        <v>129</v>
      </c>
      <c r="I1146" t="str">
        <f t="shared" si="74"/>
        <v>Domaine Dugat-Py Gevrey-Chambertin 'Petite Chapelle' Premier Cru2016</v>
      </c>
      <c r="J1146">
        <f t="shared" si="72"/>
        <v>1</v>
      </c>
    </row>
    <row r="1147" spans="1:10">
      <c r="A1147" t="s">
        <v>2266</v>
      </c>
      <c r="B1147" t="s">
        <v>2160</v>
      </c>
      <c r="C1147" t="s">
        <v>56</v>
      </c>
      <c r="D1147" t="str">
        <f t="shared" si="73"/>
        <v>Dujac Pere et Fils Chambolle-Musigny2021</v>
      </c>
      <c r="E1147">
        <f t="shared" si="71"/>
        <v>1</v>
      </c>
      <c r="F1147" t="s">
        <v>2266</v>
      </c>
      <c r="G1147" s="6" t="s">
        <v>2160</v>
      </c>
      <c r="H1147" s="5" t="s">
        <v>56</v>
      </c>
      <c r="I1147" t="str">
        <f t="shared" si="74"/>
        <v>Dujac Pere et Fils Chambolle-Musigny2021</v>
      </c>
      <c r="J1147">
        <f t="shared" si="72"/>
        <v>1</v>
      </c>
    </row>
    <row r="1148" spans="1:10">
      <c r="A1148" t="s">
        <v>2267</v>
      </c>
      <c r="B1148" t="s">
        <v>2268</v>
      </c>
      <c r="C1148" t="s">
        <v>133</v>
      </c>
      <c r="D1148" t="str">
        <f t="shared" si="73"/>
        <v>E. Guigal Cote Rotie 'La Turque'2007</v>
      </c>
      <c r="E1148">
        <f t="shared" si="71"/>
        <v>1</v>
      </c>
      <c r="F1148" t="s">
        <v>2267</v>
      </c>
      <c r="G1148" s="6" t="s">
        <v>2268</v>
      </c>
      <c r="H1148" s="5" t="s">
        <v>133</v>
      </c>
      <c r="I1148" t="str">
        <f t="shared" si="74"/>
        <v>E. Guigal Cote Rotie 'La Turque'2007</v>
      </c>
      <c r="J1148">
        <f t="shared" si="72"/>
        <v>1</v>
      </c>
    </row>
    <row r="1149" spans="1:10">
      <c r="A1149" t="s">
        <v>2269</v>
      </c>
      <c r="B1149" t="s">
        <v>2270</v>
      </c>
      <c r="C1149" t="s">
        <v>137</v>
      </c>
      <c r="D1149" t="str">
        <f t="shared" si="73"/>
        <v>Gaja Barbaresco DOCG2017</v>
      </c>
      <c r="E1149">
        <f t="shared" si="71"/>
        <v>1</v>
      </c>
      <c r="F1149" t="s">
        <v>2269</v>
      </c>
      <c r="G1149" s="6" t="s">
        <v>2270</v>
      </c>
      <c r="H1149" s="5" t="s">
        <v>137</v>
      </c>
      <c r="I1149" t="str">
        <f t="shared" si="74"/>
        <v>Gaja Barbaresco DOCG2017</v>
      </c>
      <c r="J1149">
        <f t="shared" si="72"/>
        <v>1</v>
      </c>
    </row>
    <row r="1150" spans="1:10">
      <c r="A1150" t="s">
        <v>2271</v>
      </c>
      <c r="B1150" t="s">
        <v>2272</v>
      </c>
      <c r="C1150" t="s">
        <v>56</v>
      </c>
      <c r="D1150" t="str">
        <f t="shared" si="73"/>
        <v>John Duval Wines 'Entity' Shiraz2021</v>
      </c>
      <c r="E1150">
        <f t="shared" si="71"/>
        <v>1</v>
      </c>
      <c r="F1150" t="s">
        <v>2271</v>
      </c>
      <c r="G1150" s="6" t="s">
        <v>2272</v>
      </c>
      <c r="H1150" s="5" t="s">
        <v>56</v>
      </c>
      <c r="I1150" t="str">
        <f t="shared" si="74"/>
        <v>John Duval Wines 'Entity' Shiraz2021</v>
      </c>
      <c r="J1150">
        <f t="shared" si="72"/>
        <v>1</v>
      </c>
    </row>
    <row r="1151" spans="1:10">
      <c r="A1151" t="s">
        <v>2273</v>
      </c>
      <c r="B1151" t="s">
        <v>2274</v>
      </c>
      <c r="C1151" t="s">
        <v>118</v>
      </c>
      <c r="D1151" t="str">
        <f t="shared" si="73"/>
        <v>Maison Leroy Bourgogne Rouge2018</v>
      </c>
      <c r="E1151">
        <f t="shared" si="71"/>
        <v>1</v>
      </c>
      <c r="F1151" t="s">
        <v>2273</v>
      </c>
      <c r="G1151" s="6" t="s">
        <v>2274</v>
      </c>
      <c r="H1151" s="5" t="s">
        <v>118</v>
      </c>
      <c r="I1151" t="str">
        <f t="shared" si="74"/>
        <v>Maison Leroy Bourgogne Rouge2018</v>
      </c>
      <c r="J1151">
        <f t="shared" si="72"/>
        <v>1</v>
      </c>
    </row>
    <row r="1152" spans="1:10">
      <c r="A1152" t="s">
        <v>2275</v>
      </c>
      <c r="B1152" t="s">
        <v>2276</v>
      </c>
      <c r="C1152" t="s">
        <v>222</v>
      </c>
      <c r="D1152" t="str">
        <f t="shared" si="73"/>
        <v>Maison Leroy Monthelie Rouge2015</v>
      </c>
      <c r="E1152">
        <f t="shared" si="71"/>
        <v>1</v>
      </c>
      <c r="F1152" t="s">
        <v>2275</v>
      </c>
      <c r="G1152" s="6" t="s">
        <v>2276</v>
      </c>
      <c r="H1152" s="5" t="s">
        <v>222</v>
      </c>
      <c r="I1152" t="str">
        <f t="shared" si="74"/>
        <v>Maison Leroy Monthelie Rouge2015</v>
      </c>
      <c r="J1152">
        <f t="shared" si="72"/>
        <v>1</v>
      </c>
    </row>
    <row r="1153" spans="1:10">
      <c r="A1153" t="s">
        <v>2277</v>
      </c>
      <c r="B1153" t="s">
        <v>2278</v>
      </c>
      <c r="C1153" t="s">
        <v>81</v>
      </c>
      <c r="D1153" t="str">
        <f t="shared" si="73"/>
        <v>Luciano Sandrone 'Le Vigne' Barolo DOCG2019</v>
      </c>
      <c r="E1153">
        <f t="shared" si="71"/>
        <v>1</v>
      </c>
      <c r="F1153" t="s">
        <v>2277</v>
      </c>
      <c r="G1153" s="6" t="s">
        <v>2278</v>
      </c>
      <c r="H1153" s="5" t="s">
        <v>81</v>
      </c>
      <c r="I1153" t="str">
        <f t="shared" si="74"/>
        <v>Luciano Sandrone 'Le Vigne' Barolo DOCG2019</v>
      </c>
      <c r="J1153">
        <f t="shared" si="72"/>
        <v>1</v>
      </c>
    </row>
    <row r="1154" spans="1:10">
      <c r="A1154" t="s">
        <v>2279</v>
      </c>
      <c r="B1154" t="s">
        <v>2280</v>
      </c>
      <c r="C1154" t="s">
        <v>139</v>
      </c>
      <c r="D1154" t="str">
        <f t="shared" si="73"/>
        <v>Tua Rita Redigaffi Toscana IGT2010</v>
      </c>
      <c r="E1154">
        <f t="shared" si="71"/>
        <v>1</v>
      </c>
      <c r="F1154" t="s">
        <v>2279</v>
      </c>
      <c r="G1154" s="6" t="s">
        <v>2280</v>
      </c>
      <c r="H1154" s="5" t="s">
        <v>139</v>
      </c>
      <c r="I1154" t="str">
        <f t="shared" si="74"/>
        <v>Tua Rita Redigaffi Toscana IGT2010</v>
      </c>
      <c r="J1154">
        <f t="shared" si="72"/>
        <v>1</v>
      </c>
    </row>
    <row r="1155" spans="1:10">
      <c r="A1155" t="s">
        <v>2281</v>
      </c>
      <c r="B1155" t="s">
        <v>2282</v>
      </c>
      <c r="C1155" t="s">
        <v>81</v>
      </c>
      <c r="D1155" t="str">
        <f t="shared" si="73"/>
        <v>Xavier Vignon Gigondas2019</v>
      </c>
      <c r="E1155">
        <f t="shared" ref="E1155:E1218" si="75">IF(A1155=F1155,1,0)</f>
        <v>1</v>
      </c>
      <c r="F1155" t="s">
        <v>2281</v>
      </c>
      <c r="G1155" s="6" t="s">
        <v>2282</v>
      </c>
      <c r="H1155" s="5" t="s">
        <v>81</v>
      </c>
      <c r="I1155" t="str">
        <f t="shared" si="74"/>
        <v>Xavier Vignon Gigondas2019</v>
      </c>
      <c r="J1155">
        <f t="shared" ref="J1155:J1218" si="76">IF(D1155=I1155,1,0)</f>
        <v>1</v>
      </c>
    </row>
    <row r="1156" spans="1:10">
      <c r="A1156" t="s">
        <v>2283</v>
      </c>
      <c r="B1156" t="s">
        <v>2284</v>
      </c>
      <c r="C1156" t="s">
        <v>137</v>
      </c>
      <c r="D1156" t="str">
        <f t="shared" si="73"/>
        <v>Château Subilaux2017</v>
      </c>
      <c r="E1156">
        <f t="shared" si="75"/>
        <v>1</v>
      </c>
      <c r="F1156" t="s">
        <v>2283</v>
      </c>
      <c r="G1156" s="6" t="s">
        <v>2284</v>
      </c>
      <c r="H1156" s="5" t="s">
        <v>137</v>
      </c>
      <c r="I1156" t="str">
        <f t="shared" si="74"/>
        <v>Château Subilaux2017</v>
      </c>
      <c r="J1156">
        <f t="shared" si="76"/>
        <v>1</v>
      </c>
    </row>
    <row r="1157" spans="1:10">
      <c r="A1157" t="s">
        <v>2285</v>
      </c>
      <c r="B1157" t="s">
        <v>2055</v>
      </c>
      <c r="C1157" t="s">
        <v>81</v>
      </c>
      <c r="D1157" t="str">
        <f t="shared" si="73"/>
        <v>Château La Gaffeliere 'Clos La Gaffeliere'2019</v>
      </c>
      <c r="E1157">
        <f t="shared" si="75"/>
        <v>1</v>
      </c>
      <c r="F1157" t="s">
        <v>2285</v>
      </c>
      <c r="G1157" s="7" t="s">
        <v>2055</v>
      </c>
      <c r="H1157" s="5" t="s">
        <v>81</v>
      </c>
      <c r="I1157" t="str">
        <f t="shared" si="74"/>
        <v>Château La Gaffeliere 'Clos La Gaffeliere'2019</v>
      </c>
      <c r="J1157">
        <f t="shared" si="76"/>
        <v>1</v>
      </c>
    </row>
    <row r="1158" spans="1:10">
      <c r="A1158" t="s">
        <v>2286</v>
      </c>
      <c r="B1158" t="s">
        <v>2287</v>
      </c>
      <c r="C1158" t="s">
        <v>144</v>
      </c>
      <c r="D1158" t="str">
        <f t="shared" si="73"/>
        <v>Andre Clouet Brut Rosé Grand Cru (NO. 3)NV</v>
      </c>
      <c r="E1158">
        <f t="shared" si="75"/>
        <v>1</v>
      </c>
      <c r="F1158" t="s">
        <v>2286</v>
      </c>
      <c r="G1158" s="6" t="s">
        <v>2287</v>
      </c>
      <c r="H1158" s="5" t="s">
        <v>144</v>
      </c>
      <c r="I1158" t="str">
        <f t="shared" si="74"/>
        <v>Andre Clouet Brut Rosé Grand Cru (NO. 3)NV</v>
      </c>
      <c r="J1158">
        <f t="shared" si="76"/>
        <v>1</v>
      </c>
    </row>
    <row r="1159" spans="1:10">
      <c r="A1159" t="s">
        <v>2288</v>
      </c>
      <c r="B1159" t="s">
        <v>2289</v>
      </c>
      <c r="C1159" t="s">
        <v>114</v>
      </c>
      <c r="D1159" t="str">
        <f t="shared" ref="D1159:D1222" si="77">B1159&amp;C1159</f>
        <v>Perrier-Jouët Belle Époque - Fleur de Champagne Brut Rosé Millesime2014</v>
      </c>
      <c r="E1159">
        <f t="shared" si="75"/>
        <v>1</v>
      </c>
      <c r="F1159" t="s">
        <v>2288</v>
      </c>
      <c r="G1159" s="6" t="s">
        <v>2289</v>
      </c>
      <c r="H1159" s="5" t="s">
        <v>114</v>
      </c>
      <c r="I1159" t="str">
        <f t="shared" ref="I1159:I1222" si="78">G1159&amp;H1159</f>
        <v>Perrier-Jouët Belle Époque - Fleur de Champagne Brut Rosé Millesime2014</v>
      </c>
      <c r="J1159">
        <f t="shared" si="76"/>
        <v>1</v>
      </c>
    </row>
    <row r="1160" spans="1:10">
      <c r="A1160" t="s">
        <v>2290</v>
      </c>
      <c r="B1160" t="s">
        <v>2291</v>
      </c>
      <c r="C1160" t="s">
        <v>144</v>
      </c>
      <c r="D1160" t="str">
        <f t="shared" si="77"/>
        <v>Parés Baltà Brut CavaNV</v>
      </c>
      <c r="E1160">
        <f t="shared" si="75"/>
        <v>1</v>
      </c>
      <c r="F1160" t="s">
        <v>2290</v>
      </c>
      <c r="G1160" s="6" t="s">
        <v>2291</v>
      </c>
      <c r="H1160" s="5" t="s">
        <v>144</v>
      </c>
      <c r="I1160" t="str">
        <f t="shared" si="78"/>
        <v>Parés Baltà Brut CavaNV</v>
      </c>
      <c r="J1160">
        <f t="shared" si="76"/>
        <v>1</v>
      </c>
    </row>
    <row r="1161" spans="1:10">
      <c r="A1161" t="s">
        <v>2292</v>
      </c>
      <c r="B1161" t="s">
        <v>2293</v>
      </c>
      <c r="C1161" t="s">
        <v>144</v>
      </c>
      <c r="D1161" t="str">
        <f t="shared" si="77"/>
        <v>Bad Girl Cremant Blanc NVNV</v>
      </c>
      <c r="E1161">
        <f t="shared" si="75"/>
        <v>1</v>
      </c>
      <c r="F1161" t="s">
        <v>2292</v>
      </c>
      <c r="G1161" s="6" t="s">
        <v>2449</v>
      </c>
      <c r="H1161" s="5" t="s">
        <v>144</v>
      </c>
      <c r="I1161" t="str">
        <f t="shared" si="78"/>
        <v>Bad Girl Cremant Blanc NVNV</v>
      </c>
      <c r="J1161">
        <f t="shared" si="76"/>
        <v>1</v>
      </c>
    </row>
    <row r="1162" spans="1:10">
      <c r="A1162" t="s">
        <v>2294</v>
      </c>
      <c r="B1162" t="s">
        <v>2295</v>
      </c>
      <c r="C1162" t="s">
        <v>92</v>
      </c>
      <c r="D1162" t="str">
        <f t="shared" si="77"/>
        <v>Bruno Giacosa Spumante Metodo Classico Extra Brut2020</v>
      </c>
      <c r="E1162">
        <f t="shared" si="75"/>
        <v>1</v>
      </c>
      <c r="F1162" t="s">
        <v>2294</v>
      </c>
      <c r="G1162" s="6" t="s">
        <v>2295</v>
      </c>
      <c r="H1162" s="5" t="s">
        <v>92</v>
      </c>
      <c r="I1162" t="str">
        <f t="shared" si="78"/>
        <v>Bruno Giacosa Spumante Metodo Classico Extra Brut2020</v>
      </c>
      <c r="J1162">
        <f t="shared" si="76"/>
        <v>1</v>
      </c>
    </row>
    <row r="1163" spans="1:10">
      <c r="A1163" t="s">
        <v>2296</v>
      </c>
      <c r="B1163" t="s">
        <v>2297</v>
      </c>
      <c r="C1163" t="s">
        <v>144</v>
      </c>
      <c r="D1163" t="str">
        <f t="shared" si="77"/>
        <v>Leon Galhaud Demi-Sec Sparkling Red NV</v>
      </c>
      <c r="E1163">
        <f t="shared" si="75"/>
        <v>1</v>
      </c>
      <c r="F1163" t="s">
        <v>2296</v>
      </c>
      <c r="G1163" s="6" t="s">
        <v>2297</v>
      </c>
      <c r="H1163" s="5" t="s">
        <v>144</v>
      </c>
      <c r="I1163" t="str">
        <f t="shared" si="78"/>
        <v>Leon Galhaud Demi-Sec Sparkling Red NV</v>
      </c>
      <c r="J1163">
        <f t="shared" si="76"/>
        <v>1</v>
      </c>
    </row>
    <row r="1164" spans="1:10">
      <c r="A1164" t="s">
        <v>2298</v>
      </c>
      <c r="B1164" t="s">
        <v>2295</v>
      </c>
      <c r="C1164" t="s">
        <v>137</v>
      </c>
      <c r="D1164" t="str">
        <f t="shared" si="77"/>
        <v>Bruno Giacosa Spumante Metodo Classico Extra Brut2017</v>
      </c>
      <c r="E1164">
        <f t="shared" si="75"/>
        <v>1</v>
      </c>
      <c r="F1164" t="s">
        <v>2298</v>
      </c>
      <c r="G1164" s="6" t="s">
        <v>2295</v>
      </c>
      <c r="H1164" s="5" t="s">
        <v>137</v>
      </c>
      <c r="I1164" t="str">
        <f t="shared" si="78"/>
        <v>Bruno Giacosa Spumante Metodo Classico Extra Brut2017</v>
      </c>
      <c r="J1164">
        <f t="shared" si="76"/>
        <v>1</v>
      </c>
    </row>
    <row r="1165" spans="1:10">
      <c r="A1165" t="s">
        <v>2299</v>
      </c>
      <c r="B1165" t="s">
        <v>2300</v>
      </c>
      <c r="C1165" t="s">
        <v>129</v>
      </c>
      <c r="D1165" t="str">
        <f t="shared" si="77"/>
        <v>Château Vari2016</v>
      </c>
      <c r="E1165">
        <f t="shared" si="75"/>
        <v>1</v>
      </c>
      <c r="F1165" t="s">
        <v>2299</v>
      </c>
      <c r="G1165" s="6" t="s">
        <v>2300</v>
      </c>
      <c r="H1165" s="5" t="s">
        <v>129</v>
      </c>
      <c r="I1165" t="str">
        <f t="shared" si="78"/>
        <v>Château Vari2016</v>
      </c>
      <c r="J1165">
        <f t="shared" si="76"/>
        <v>1</v>
      </c>
    </row>
    <row r="1166" spans="1:10">
      <c r="A1166" t="s">
        <v>2301</v>
      </c>
      <c r="B1166" t="s">
        <v>2302</v>
      </c>
      <c r="C1166" t="s">
        <v>118</v>
      </c>
      <c r="D1166" t="str">
        <f t="shared" si="77"/>
        <v>Marie-Therese Chappaz Grain Noble Marsanne Blanche2018</v>
      </c>
      <c r="E1166">
        <f t="shared" si="75"/>
        <v>1</v>
      </c>
      <c r="F1166" t="s">
        <v>2301</v>
      </c>
      <c r="G1166" s="6" t="s">
        <v>2302</v>
      </c>
      <c r="H1166" s="5" t="s">
        <v>118</v>
      </c>
      <c r="I1166" t="str">
        <f t="shared" si="78"/>
        <v>Marie-Therese Chappaz Grain Noble Marsanne Blanche2018</v>
      </c>
      <c r="J1166">
        <f t="shared" si="76"/>
        <v>1</v>
      </c>
    </row>
    <row r="1167" spans="1:10">
      <c r="A1167" t="s">
        <v>2303</v>
      </c>
      <c r="B1167" t="s">
        <v>2304</v>
      </c>
      <c r="C1167" t="s">
        <v>30</v>
      </c>
      <c r="D1167" t="str">
        <f t="shared" si="77"/>
        <v>Domaine Daniel-Etienne Defaix Chablis 'Vieilles Vignes'2022</v>
      </c>
      <c r="E1167">
        <f t="shared" si="75"/>
        <v>1</v>
      </c>
      <c r="F1167" t="s">
        <v>2303</v>
      </c>
      <c r="G1167" s="6" t="s">
        <v>2304</v>
      </c>
      <c r="H1167" s="5" t="s">
        <v>30</v>
      </c>
      <c r="I1167" t="str">
        <f t="shared" si="78"/>
        <v>Domaine Daniel-Etienne Defaix Chablis 'Vieilles Vignes'2022</v>
      </c>
      <c r="J1167">
        <f t="shared" si="76"/>
        <v>1</v>
      </c>
    </row>
    <row r="1168" spans="1:10">
      <c r="A1168" t="s">
        <v>2305</v>
      </c>
      <c r="B1168" t="s">
        <v>2306</v>
      </c>
      <c r="C1168" t="s">
        <v>289</v>
      </c>
      <c r="D1168" t="str">
        <f t="shared" si="77"/>
        <v>Defaix Frères Chablis2023</v>
      </c>
      <c r="E1168">
        <f t="shared" si="75"/>
        <v>1</v>
      </c>
      <c r="F1168" t="s">
        <v>2305</v>
      </c>
      <c r="G1168" s="6" t="s">
        <v>2306</v>
      </c>
      <c r="H1168" s="5" t="s">
        <v>289</v>
      </c>
      <c r="I1168" t="str">
        <f t="shared" si="78"/>
        <v>Defaix Frères Chablis2023</v>
      </c>
      <c r="J1168">
        <f t="shared" si="76"/>
        <v>1</v>
      </c>
    </row>
    <row r="1169" spans="1:10">
      <c r="A1169" t="s">
        <v>2307</v>
      </c>
      <c r="B1169" t="s">
        <v>2308</v>
      </c>
      <c r="C1169" t="s">
        <v>30</v>
      </c>
      <c r="D1169" t="str">
        <f t="shared" si="77"/>
        <v>AJ Vaona Bourgogne Chardonnay 2022</v>
      </c>
      <c r="E1169">
        <f t="shared" si="75"/>
        <v>1</v>
      </c>
      <c r="F1169" t="s">
        <v>2307</v>
      </c>
      <c r="G1169" s="6" t="s">
        <v>2308</v>
      </c>
      <c r="H1169" s="5" t="s">
        <v>30</v>
      </c>
      <c r="I1169" t="str">
        <f t="shared" si="78"/>
        <v>AJ Vaona Bourgogne Chardonnay 2022</v>
      </c>
      <c r="J1169">
        <f t="shared" si="76"/>
        <v>1</v>
      </c>
    </row>
    <row r="1170" spans="1:10">
      <c r="A1170" t="s">
        <v>2309</v>
      </c>
      <c r="B1170" t="s">
        <v>2310</v>
      </c>
      <c r="C1170" t="s">
        <v>1537</v>
      </c>
      <c r="D1170" t="str">
        <f t="shared" si="77"/>
        <v>Bruno Giacosa Roero Arneis DOCG2024</v>
      </c>
      <c r="E1170">
        <f t="shared" si="75"/>
        <v>1</v>
      </c>
      <c r="F1170" t="s">
        <v>2309</v>
      </c>
      <c r="G1170" s="6" t="s">
        <v>2310</v>
      </c>
      <c r="H1170" s="5" t="s">
        <v>1537</v>
      </c>
      <c r="I1170" t="str">
        <f t="shared" si="78"/>
        <v>Bruno Giacosa Roero Arneis DOCG2024</v>
      </c>
      <c r="J1170">
        <f t="shared" si="76"/>
        <v>1</v>
      </c>
    </row>
    <row r="1171" spans="1:10">
      <c r="A1171" t="s">
        <v>2311</v>
      </c>
      <c r="B1171" t="s">
        <v>2312</v>
      </c>
      <c r="C1171" t="s">
        <v>111</v>
      </c>
      <c r="D1171" t="str">
        <f t="shared" si="77"/>
        <v>Domaine Daniel-Etienne Defaix Chablis 'Vaillon' Premier Cru2013</v>
      </c>
      <c r="E1171">
        <f t="shared" si="75"/>
        <v>1</v>
      </c>
      <c r="F1171" t="s">
        <v>2311</v>
      </c>
      <c r="G1171" s="6" t="s">
        <v>2312</v>
      </c>
      <c r="H1171" s="5" t="s">
        <v>111</v>
      </c>
      <c r="I1171" t="str">
        <f t="shared" si="78"/>
        <v>Domaine Daniel-Etienne Defaix Chablis 'Vaillon' Premier Cru2013</v>
      </c>
      <c r="J1171">
        <f t="shared" si="76"/>
        <v>1</v>
      </c>
    </row>
    <row r="1172" spans="1:10">
      <c r="A1172" t="s">
        <v>2313</v>
      </c>
      <c r="B1172" t="s">
        <v>2314</v>
      </c>
      <c r="C1172" t="s">
        <v>289</v>
      </c>
      <c r="D1172" t="str">
        <f t="shared" si="77"/>
        <v>Defaix Frères Chablis 'Cote de Lechet' Premier Cru2023</v>
      </c>
      <c r="E1172">
        <f t="shared" si="75"/>
        <v>1</v>
      </c>
      <c r="F1172" t="s">
        <v>2313</v>
      </c>
      <c r="G1172" s="6" t="s">
        <v>2314</v>
      </c>
      <c r="H1172" s="5" t="s">
        <v>289</v>
      </c>
      <c r="I1172" t="str">
        <f t="shared" si="78"/>
        <v>Defaix Frères Chablis 'Cote de Lechet' Premier Cru2023</v>
      </c>
      <c r="J1172">
        <f t="shared" si="76"/>
        <v>1</v>
      </c>
    </row>
    <row r="1173" spans="1:10">
      <c r="A1173" t="s">
        <v>2315</v>
      </c>
      <c r="B1173" t="s">
        <v>2316</v>
      </c>
      <c r="C1173" t="s">
        <v>289</v>
      </c>
      <c r="D1173" t="str">
        <f t="shared" si="77"/>
        <v>Defaix Frères Chablis 'Les Vaillons' Premier Cru2023</v>
      </c>
      <c r="E1173">
        <f t="shared" si="75"/>
        <v>1</v>
      </c>
      <c r="F1173" t="s">
        <v>2315</v>
      </c>
      <c r="G1173" s="6" t="s">
        <v>2316</v>
      </c>
      <c r="H1173" s="5" t="s">
        <v>289</v>
      </c>
      <c r="I1173" t="str">
        <f t="shared" si="78"/>
        <v>Defaix Frères Chablis 'Les Vaillons' Premier Cru2023</v>
      </c>
      <c r="J1173">
        <f t="shared" si="76"/>
        <v>1</v>
      </c>
    </row>
    <row r="1174" spans="1:10">
      <c r="A1174" t="s">
        <v>2317</v>
      </c>
      <c r="B1174" t="s">
        <v>2318</v>
      </c>
      <c r="C1174" t="s">
        <v>289</v>
      </c>
      <c r="D1174" t="str">
        <f t="shared" si="77"/>
        <v>Château Lafont-Fourcat Blanc2023</v>
      </c>
      <c r="E1174">
        <f t="shared" si="75"/>
        <v>1</v>
      </c>
      <c r="F1174" t="s">
        <v>2317</v>
      </c>
      <c r="G1174" s="6" t="s">
        <v>2318</v>
      </c>
      <c r="H1174" s="5" t="s">
        <v>289</v>
      </c>
      <c r="I1174" t="str">
        <f t="shared" si="78"/>
        <v>Château Lafont-Fourcat Blanc2023</v>
      </c>
      <c r="J1174">
        <f t="shared" si="76"/>
        <v>1</v>
      </c>
    </row>
    <row r="1175" spans="1:10">
      <c r="A1175" t="s">
        <v>2319</v>
      </c>
      <c r="B1175" t="s">
        <v>2320</v>
      </c>
      <c r="C1175" t="s">
        <v>114</v>
      </c>
      <c r="D1175" t="str">
        <f t="shared" si="77"/>
        <v>Domaine Daniel-Etienne Defaix Chablis 'Les Lys' Premier Cru2014</v>
      </c>
      <c r="E1175">
        <f t="shared" si="75"/>
        <v>1</v>
      </c>
      <c r="F1175" t="s">
        <v>2319</v>
      </c>
      <c r="G1175" s="6" t="s">
        <v>2320</v>
      </c>
      <c r="H1175" s="5" t="s">
        <v>114</v>
      </c>
      <c r="I1175" t="str">
        <f t="shared" si="78"/>
        <v>Domaine Daniel-Etienne Defaix Chablis 'Les Lys' Premier Cru2014</v>
      </c>
      <c r="J1175">
        <f t="shared" si="76"/>
        <v>1</v>
      </c>
    </row>
    <row r="1176" spans="1:10">
      <c r="A1176" t="s">
        <v>2321</v>
      </c>
      <c r="B1176" t="s">
        <v>2322</v>
      </c>
      <c r="C1176" t="s">
        <v>289</v>
      </c>
      <c r="D1176" t="str">
        <f t="shared" si="77"/>
        <v>Defaix Frères Rully 'Rabource' Premier Cru2023</v>
      </c>
      <c r="E1176">
        <f t="shared" si="75"/>
        <v>1</v>
      </c>
      <c r="F1176" t="s">
        <v>2321</v>
      </c>
      <c r="G1176" s="6" t="s">
        <v>2322</v>
      </c>
      <c r="H1176" s="5" t="s">
        <v>289</v>
      </c>
      <c r="I1176" t="str">
        <f t="shared" si="78"/>
        <v>Defaix Frères Rully 'Rabource' Premier Cru2023</v>
      </c>
      <c r="J1176">
        <f t="shared" si="76"/>
        <v>1</v>
      </c>
    </row>
    <row r="1177" spans="1:10">
      <c r="A1177" t="s">
        <v>2323</v>
      </c>
      <c r="B1177" t="s">
        <v>2324</v>
      </c>
      <c r="C1177" t="s">
        <v>81</v>
      </c>
      <c r="D1177" t="str">
        <f t="shared" si="77"/>
        <v>Bad Girl Crémant de Bordeaux Blanc Brut2019</v>
      </c>
      <c r="E1177">
        <f t="shared" si="75"/>
        <v>1</v>
      </c>
      <c r="F1177" t="s">
        <v>2323</v>
      </c>
      <c r="G1177" s="6" t="s">
        <v>2324</v>
      </c>
      <c r="H1177" s="5" t="s">
        <v>81</v>
      </c>
      <c r="I1177" t="str">
        <f t="shared" si="78"/>
        <v>Bad Girl Crémant de Bordeaux Blanc Brut2019</v>
      </c>
      <c r="J1177">
        <f t="shared" si="76"/>
        <v>1</v>
      </c>
    </row>
    <row r="1178" spans="1:10">
      <c r="A1178" t="s">
        <v>2325</v>
      </c>
      <c r="B1178" t="s">
        <v>2326</v>
      </c>
      <c r="C1178" t="s">
        <v>289</v>
      </c>
      <c r="D1178" t="str">
        <f t="shared" si="77"/>
        <v>Defaix Frères Chablis 'Vieille Vigne'2023</v>
      </c>
      <c r="E1178">
        <f t="shared" si="75"/>
        <v>1</v>
      </c>
      <c r="F1178" t="s">
        <v>2325</v>
      </c>
      <c r="G1178" s="6" t="s">
        <v>2326</v>
      </c>
      <c r="H1178" s="5" t="s">
        <v>289</v>
      </c>
      <c r="I1178" t="str">
        <f t="shared" si="78"/>
        <v>Defaix Frères Chablis 'Vieille Vigne'2023</v>
      </c>
      <c r="J1178">
        <f t="shared" si="76"/>
        <v>1</v>
      </c>
    </row>
    <row r="1179" spans="1:10">
      <c r="A1179" t="s">
        <v>2327</v>
      </c>
      <c r="B1179" t="s">
        <v>2328</v>
      </c>
      <c r="C1179" t="s">
        <v>289</v>
      </c>
      <c r="D1179" t="str">
        <f t="shared" si="77"/>
        <v>Domaine Virginie Thunevin Blanc2023</v>
      </c>
      <c r="E1179">
        <f t="shared" si="75"/>
        <v>1</v>
      </c>
      <c r="F1179" t="s">
        <v>2327</v>
      </c>
      <c r="G1179" s="6" t="s">
        <v>2328</v>
      </c>
      <c r="H1179" s="5" t="s">
        <v>289</v>
      </c>
      <c r="I1179" t="str">
        <f t="shared" si="78"/>
        <v>Domaine Virginie Thunevin Blanc2023</v>
      </c>
      <c r="J1179">
        <f t="shared" si="76"/>
        <v>1</v>
      </c>
    </row>
    <row r="1180" spans="1:10">
      <c r="A1180" t="s">
        <v>2329</v>
      </c>
      <c r="B1180" t="s">
        <v>2330</v>
      </c>
      <c r="C1180" t="s">
        <v>172</v>
      </c>
      <c r="D1180" t="str">
        <f t="shared" si="77"/>
        <v>Domaine Daniel-Etienne Defaix Chablis 'Côte de Léchet' Premier Cru2012</v>
      </c>
      <c r="E1180">
        <f t="shared" si="75"/>
        <v>1</v>
      </c>
      <c r="F1180" t="s">
        <v>2329</v>
      </c>
      <c r="G1180" s="6" t="s">
        <v>2330</v>
      </c>
      <c r="H1180" s="5" t="s">
        <v>172</v>
      </c>
      <c r="I1180" t="str">
        <f t="shared" si="78"/>
        <v>Domaine Daniel-Etienne Defaix Chablis 'Côte de Léchet' Premier Cru2012</v>
      </c>
      <c r="J1180">
        <f t="shared" si="76"/>
        <v>1</v>
      </c>
    </row>
    <row r="1181" spans="1:10">
      <c r="A1181" t="s">
        <v>2331</v>
      </c>
      <c r="B1181" t="s">
        <v>2332</v>
      </c>
      <c r="C1181" t="s">
        <v>30</v>
      </c>
      <c r="D1181" t="str">
        <f t="shared" si="77"/>
        <v>Domaine Daniel-Etienne Defaix Chablis Vieilles Vignes2022</v>
      </c>
      <c r="E1181">
        <f t="shared" si="75"/>
        <v>1</v>
      </c>
      <c r="F1181" t="s">
        <v>2331</v>
      </c>
      <c r="G1181" s="6" t="s">
        <v>2332</v>
      </c>
      <c r="H1181" s="5" t="s">
        <v>30</v>
      </c>
      <c r="I1181" t="str">
        <f t="shared" si="78"/>
        <v>Domaine Daniel-Etienne Defaix Chablis Vieilles Vignes2022</v>
      </c>
      <c r="J1181">
        <f t="shared" si="76"/>
        <v>1</v>
      </c>
    </row>
    <row r="1182" spans="1:10">
      <c r="A1182" t="s">
        <v>2333</v>
      </c>
      <c r="B1182" t="s">
        <v>2334</v>
      </c>
      <c r="C1182" t="s">
        <v>289</v>
      </c>
      <c r="D1182" t="str">
        <f t="shared" si="77"/>
        <v>Thunevin-Calvet 'Cuvee Constance' Blanc2023</v>
      </c>
      <c r="E1182">
        <f t="shared" si="75"/>
        <v>1</v>
      </c>
      <c r="F1182" t="s">
        <v>2333</v>
      </c>
      <c r="G1182" s="6" t="s">
        <v>2334</v>
      </c>
      <c r="H1182" s="5" t="s">
        <v>289</v>
      </c>
      <c r="I1182" t="str">
        <f t="shared" si="78"/>
        <v>Thunevin-Calvet 'Cuvee Constance' Blanc2023</v>
      </c>
      <c r="J1182">
        <f t="shared" si="76"/>
        <v>1</v>
      </c>
    </row>
    <row r="1183" spans="1:10">
      <c r="A1183" t="s">
        <v>2335</v>
      </c>
      <c r="B1183" t="s">
        <v>2336</v>
      </c>
      <c r="C1183" t="s">
        <v>289</v>
      </c>
      <c r="D1183" t="str">
        <f t="shared" si="77"/>
        <v>Defaix Frères Chablis 'Les Lys' Premier Cru2023</v>
      </c>
      <c r="E1183">
        <f t="shared" si="75"/>
        <v>1</v>
      </c>
      <c r="F1183" t="s">
        <v>2335</v>
      </c>
      <c r="G1183" s="6" t="s">
        <v>2336</v>
      </c>
      <c r="H1183" s="5" t="s">
        <v>289</v>
      </c>
      <c r="I1183" t="str">
        <f t="shared" si="78"/>
        <v>Defaix Frères Chablis 'Les Lys' Premier Cru2023</v>
      </c>
      <c r="J1183">
        <f t="shared" si="76"/>
        <v>1</v>
      </c>
    </row>
    <row r="1184" spans="1:10">
      <c r="A1184" t="s">
        <v>2337</v>
      </c>
      <c r="B1184" t="s">
        <v>2338</v>
      </c>
      <c r="C1184" t="s">
        <v>289</v>
      </c>
      <c r="D1184" t="str">
        <f t="shared" si="77"/>
        <v>Defaix Frères Chablis Montée de Tonnerre Premier Cru 2023</v>
      </c>
      <c r="E1184">
        <f t="shared" si="75"/>
        <v>1</v>
      </c>
      <c r="F1184" t="s">
        <v>2337</v>
      </c>
      <c r="G1184" s="6" t="s">
        <v>2338</v>
      </c>
      <c r="H1184" s="5" t="s">
        <v>289</v>
      </c>
      <c r="I1184" t="str">
        <f t="shared" si="78"/>
        <v>Defaix Frères Chablis Montée de Tonnerre Premier Cru 2023</v>
      </c>
      <c r="J1184">
        <f t="shared" si="76"/>
        <v>1</v>
      </c>
    </row>
    <row r="1185" spans="1:10">
      <c r="A1185" t="s">
        <v>2339</v>
      </c>
      <c r="B1185" t="s">
        <v>2340</v>
      </c>
      <c r="C1185" t="s">
        <v>289</v>
      </c>
      <c r="D1185" t="str">
        <f t="shared" si="77"/>
        <v>Defaix Frères Chablis 'Côte de Léchet' Vieilles Vignes Premier Cru 2023</v>
      </c>
      <c r="E1185">
        <f t="shared" si="75"/>
        <v>1</v>
      </c>
      <c r="F1185" t="s">
        <v>2339</v>
      </c>
      <c r="G1185" s="6" t="s">
        <v>2340</v>
      </c>
      <c r="H1185" s="5" t="s">
        <v>289</v>
      </c>
      <c r="I1185" t="str">
        <f t="shared" si="78"/>
        <v>Defaix Frères Chablis 'Côte de Léchet' Vieilles Vignes Premier Cru 2023</v>
      </c>
      <c r="J1185">
        <f t="shared" si="76"/>
        <v>1</v>
      </c>
    </row>
    <row r="1186" spans="1:10">
      <c r="A1186" t="s">
        <v>2341</v>
      </c>
      <c r="B1186" t="s">
        <v>2342</v>
      </c>
      <c r="C1186" t="s">
        <v>289</v>
      </c>
      <c r="D1186" t="str">
        <f t="shared" si="77"/>
        <v>Agricola Gianpiero Marrone 'Solaris' Moscato d'Asti DOCG2023</v>
      </c>
      <c r="E1186">
        <f t="shared" si="75"/>
        <v>1</v>
      </c>
      <c r="F1186" t="s">
        <v>2341</v>
      </c>
      <c r="G1186" s="6" t="s">
        <v>2342</v>
      </c>
      <c r="H1186" s="5" t="s">
        <v>289</v>
      </c>
      <c r="I1186" t="str">
        <f t="shared" si="78"/>
        <v>Agricola Gianpiero Marrone 'Solaris' Moscato d'Asti DOCG2023</v>
      </c>
      <c r="J1186">
        <f t="shared" si="76"/>
        <v>1</v>
      </c>
    </row>
    <row r="1187" spans="1:10">
      <c r="A1187" t="s">
        <v>2343</v>
      </c>
      <c r="B1187" t="s">
        <v>2320</v>
      </c>
      <c r="C1187" t="s">
        <v>111</v>
      </c>
      <c r="D1187" t="str">
        <f t="shared" si="77"/>
        <v>Domaine Daniel-Etienne Defaix Chablis 'Les Lys' Premier Cru2013</v>
      </c>
      <c r="E1187">
        <f t="shared" si="75"/>
        <v>1</v>
      </c>
      <c r="F1187" t="s">
        <v>2343</v>
      </c>
      <c r="G1187" s="6" t="s">
        <v>2320</v>
      </c>
      <c r="H1187" s="5" t="s">
        <v>111</v>
      </c>
      <c r="I1187" t="str">
        <f t="shared" si="78"/>
        <v>Domaine Daniel-Etienne Defaix Chablis 'Les Lys' Premier Cru2013</v>
      </c>
      <c r="J1187">
        <f t="shared" si="76"/>
        <v>1</v>
      </c>
    </row>
    <row r="1188" spans="1:10">
      <c r="A1188" t="s">
        <v>2344</v>
      </c>
      <c r="B1188" t="s">
        <v>2345</v>
      </c>
      <c r="C1188" t="s">
        <v>289</v>
      </c>
      <c r="D1188" t="str">
        <f t="shared" si="77"/>
        <v>Defaix Frères Chablis 'Bougros' Grand Cru2023</v>
      </c>
      <c r="E1188">
        <f t="shared" si="75"/>
        <v>1</v>
      </c>
      <c r="F1188" t="s">
        <v>2344</v>
      </c>
      <c r="G1188" s="6" t="s">
        <v>2345</v>
      </c>
      <c r="H1188" s="5" t="s">
        <v>289</v>
      </c>
      <c r="I1188" t="str">
        <f t="shared" si="78"/>
        <v>Defaix Frères Chablis 'Bougros' Grand Cru2023</v>
      </c>
      <c r="J1188">
        <f t="shared" si="76"/>
        <v>1</v>
      </c>
    </row>
    <row r="1189" spans="1:10">
      <c r="A1189" t="s">
        <v>2346</v>
      </c>
      <c r="B1189" t="s">
        <v>2347</v>
      </c>
      <c r="C1189" t="s">
        <v>92</v>
      </c>
      <c r="D1189" t="str">
        <f t="shared" si="77"/>
        <v>Diane by Jacques Lurton Sémillon2020</v>
      </c>
      <c r="E1189">
        <f t="shared" si="75"/>
        <v>1</v>
      </c>
      <c r="F1189" t="s">
        <v>2346</v>
      </c>
      <c r="G1189" s="6" t="s">
        <v>2347</v>
      </c>
      <c r="H1189" s="5" t="s">
        <v>92</v>
      </c>
      <c r="I1189" t="str">
        <f t="shared" si="78"/>
        <v>Diane by Jacques Lurton Sémillon2020</v>
      </c>
      <c r="J1189">
        <f t="shared" si="76"/>
        <v>1</v>
      </c>
    </row>
    <row r="1190" spans="1:10">
      <c r="A1190" t="s">
        <v>2348</v>
      </c>
      <c r="B1190" t="s">
        <v>2349</v>
      </c>
      <c r="C1190" t="s">
        <v>92</v>
      </c>
      <c r="D1190" t="str">
        <f t="shared" si="77"/>
        <v>Etienne Sauzet Puligny-Montrachet 'Les Combettes' Premier Cru2020</v>
      </c>
      <c r="E1190">
        <f t="shared" si="75"/>
        <v>1</v>
      </c>
      <c r="F1190" t="s">
        <v>2348</v>
      </c>
      <c r="G1190" s="6" t="s">
        <v>2349</v>
      </c>
      <c r="H1190" s="5" t="s">
        <v>92</v>
      </c>
      <c r="I1190" t="str">
        <f t="shared" si="78"/>
        <v>Etienne Sauzet Puligny-Montrachet 'Les Combettes' Premier Cru2020</v>
      </c>
      <c r="J1190">
        <f t="shared" si="76"/>
        <v>1</v>
      </c>
    </row>
    <row r="1191" spans="1:10">
      <c r="A1191" t="s">
        <v>2350</v>
      </c>
      <c r="B1191" t="s">
        <v>2351</v>
      </c>
      <c r="C1191" t="s">
        <v>289</v>
      </c>
      <c r="D1191" t="str">
        <f t="shared" si="77"/>
        <v>Defaix Frères Chablis 'Les Clos' Grand Cru 2023</v>
      </c>
      <c r="E1191">
        <f t="shared" si="75"/>
        <v>1</v>
      </c>
      <c r="F1191" t="s">
        <v>2350</v>
      </c>
      <c r="G1191" s="6" t="s">
        <v>2351</v>
      </c>
      <c r="H1191" s="5" t="s">
        <v>289</v>
      </c>
      <c r="I1191" t="str">
        <f t="shared" si="78"/>
        <v>Defaix Frères Chablis 'Les Clos' Grand Cru 2023</v>
      </c>
      <c r="J1191">
        <f t="shared" si="76"/>
        <v>1</v>
      </c>
    </row>
    <row r="1192" spans="1:10">
      <c r="A1192" t="s">
        <v>2352</v>
      </c>
      <c r="B1192" t="s">
        <v>2353</v>
      </c>
      <c r="C1192" t="s">
        <v>30</v>
      </c>
      <c r="D1192" t="str">
        <f t="shared" si="77"/>
        <v>Domaine Jean-Marc Pillot Bourgogne 'Le Haut des Champs' Blanc2022</v>
      </c>
      <c r="E1192">
        <f t="shared" si="75"/>
        <v>1</v>
      </c>
      <c r="F1192" t="s">
        <v>2352</v>
      </c>
      <c r="G1192" s="6" t="s">
        <v>2353</v>
      </c>
      <c r="H1192" s="5" t="s">
        <v>30</v>
      </c>
      <c r="I1192" t="str">
        <f t="shared" si="78"/>
        <v>Domaine Jean-Marc Pillot Bourgogne 'Le Haut des Champs' Blanc2022</v>
      </c>
      <c r="J1192">
        <f t="shared" si="76"/>
        <v>1</v>
      </c>
    </row>
    <row r="1193" spans="1:10">
      <c r="A1193" t="s">
        <v>2354</v>
      </c>
      <c r="B1193" t="s">
        <v>2355</v>
      </c>
      <c r="C1193" t="s">
        <v>30</v>
      </c>
      <c r="D1193" t="str">
        <f t="shared" si="77"/>
        <v>Domaine Jean-Marc Pillot Chassagne-Montrachet 'Les Macherelles' Premier Cru2022</v>
      </c>
      <c r="E1193">
        <f t="shared" si="75"/>
        <v>1</v>
      </c>
      <c r="F1193" t="s">
        <v>2354</v>
      </c>
      <c r="G1193" s="6" t="s">
        <v>2355</v>
      </c>
      <c r="H1193" s="5" t="s">
        <v>30</v>
      </c>
      <c r="I1193" t="str">
        <f t="shared" si="78"/>
        <v>Domaine Jean-Marc Pillot Chassagne-Montrachet 'Les Macherelles' Premier Cru2022</v>
      </c>
      <c r="J1193">
        <f t="shared" si="76"/>
        <v>1</v>
      </c>
    </row>
    <row r="1194" spans="1:10">
      <c r="A1194" t="s">
        <v>2356</v>
      </c>
      <c r="B1194" t="s">
        <v>2357</v>
      </c>
      <c r="C1194" t="s">
        <v>30</v>
      </c>
      <c r="D1194" t="str">
        <f t="shared" si="77"/>
        <v>Xavier Vignon Châteauneuf-du-Pape 'Cuvee Anonyme' Blanc2022</v>
      </c>
      <c r="E1194">
        <f t="shared" si="75"/>
        <v>1</v>
      </c>
      <c r="F1194" t="s">
        <v>2356</v>
      </c>
      <c r="G1194" s="6" t="s">
        <v>2357</v>
      </c>
      <c r="H1194" s="5" t="s">
        <v>30</v>
      </c>
      <c r="I1194" t="str">
        <f t="shared" si="78"/>
        <v>Xavier Vignon Châteauneuf-du-Pape 'Cuvee Anonyme' Blanc2022</v>
      </c>
      <c r="J1194">
        <f t="shared" si="76"/>
        <v>1</v>
      </c>
    </row>
    <row r="1195" spans="1:10">
      <c r="A1195" t="s">
        <v>2358</v>
      </c>
      <c r="B1195" t="s">
        <v>2359</v>
      </c>
      <c r="C1195" t="s">
        <v>125</v>
      </c>
      <c r="D1195" t="str">
        <f t="shared" si="77"/>
        <v>Château Pape Clément Blanc2008</v>
      </c>
      <c r="E1195">
        <f t="shared" si="75"/>
        <v>1</v>
      </c>
      <c r="F1195" t="s">
        <v>2358</v>
      </c>
      <c r="G1195" s="6" t="s">
        <v>2359</v>
      </c>
      <c r="H1195" s="5" t="s">
        <v>125</v>
      </c>
      <c r="I1195" t="str">
        <f t="shared" si="78"/>
        <v>Château Pape Clément Blanc2008</v>
      </c>
      <c r="J1195">
        <f t="shared" si="76"/>
        <v>1</v>
      </c>
    </row>
    <row r="1196" spans="1:10">
      <c r="A1196" t="s">
        <v>2360</v>
      </c>
      <c r="B1196" t="s">
        <v>2361</v>
      </c>
      <c r="C1196" t="s">
        <v>289</v>
      </c>
      <c r="D1196" t="str">
        <f t="shared" si="77"/>
        <v>Château Valandraud Blanc 'Blanc de Valandraud No. 1'2023</v>
      </c>
      <c r="E1196">
        <f t="shared" si="75"/>
        <v>1</v>
      </c>
      <c r="F1196" t="s">
        <v>2360</v>
      </c>
      <c r="G1196" s="6" t="s">
        <v>2361</v>
      </c>
      <c r="H1196" s="5" t="s">
        <v>289</v>
      </c>
      <c r="I1196" t="str">
        <f t="shared" si="78"/>
        <v>Château Valandraud Blanc 'Blanc de Valandraud No. 1'2023</v>
      </c>
      <c r="J1196">
        <f t="shared" si="76"/>
        <v>1</v>
      </c>
    </row>
    <row r="1197" spans="1:10">
      <c r="A1197" t="s">
        <v>2362</v>
      </c>
      <c r="B1197" t="s">
        <v>2363</v>
      </c>
      <c r="C1197" t="s">
        <v>30</v>
      </c>
      <c r="D1197" t="str">
        <f t="shared" si="77"/>
        <v>Domaine Buisson-Charles Meursault 'Les Tessons'2022</v>
      </c>
      <c r="E1197">
        <f t="shared" si="75"/>
        <v>1</v>
      </c>
      <c r="F1197" t="s">
        <v>2362</v>
      </c>
      <c r="G1197" s="6" t="s">
        <v>2363</v>
      </c>
      <c r="H1197" s="5" t="s">
        <v>30</v>
      </c>
      <c r="I1197" t="str">
        <f t="shared" si="78"/>
        <v>Domaine Buisson-Charles Meursault 'Les Tessons'2022</v>
      </c>
      <c r="J1197">
        <f t="shared" si="76"/>
        <v>1</v>
      </c>
    </row>
    <row r="1198" spans="1:10">
      <c r="A1198" t="s">
        <v>2364</v>
      </c>
      <c r="B1198" t="s">
        <v>2365</v>
      </c>
      <c r="C1198" t="s">
        <v>111</v>
      </c>
      <c r="D1198" t="str">
        <f t="shared" si="77"/>
        <v>Domaine de Chevalier Blanc2013</v>
      </c>
      <c r="E1198">
        <f t="shared" si="75"/>
        <v>1</v>
      </c>
      <c r="F1198" t="s">
        <v>2364</v>
      </c>
      <c r="G1198" s="6" t="s">
        <v>2365</v>
      </c>
      <c r="H1198" s="5" t="s">
        <v>111</v>
      </c>
      <c r="I1198" t="str">
        <f t="shared" si="78"/>
        <v>Domaine de Chevalier Blanc2013</v>
      </c>
      <c r="J1198">
        <f t="shared" si="76"/>
        <v>1</v>
      </c>
    </row>
    <row r="1199" spans="1:10">
      <c r="A1199" t="s">
        <v>2366</v>
      </c>
      <c r="B1199" t="s">
        <v>2367</v>
      </c>
      <c r="C1199" t="s">
        <v>30</v>
      </c>
      <c r="D1199" t="str">
        <f t="shared" si="77"/>
        <v>Domaine Jean-Marc Pillot Chassagne-Montrachet 'Les Champs Gains' Premier Cru2022</v>
      </c>
      <c r="E1199">
        <f t="shared" si="75"/>
        <v>1</v>
      </c>
      <c r="F1199" t="s">
        <v>2366</v>
      </c>
      <c r="G1199" s="6" t="s">
        <v>2367</v>
      </c>
      <c r="H1199" s="5" t="s">
        <v>30</v>
      </c>
      <c r="I1199" t="str">
        <f t="shared" si="78"/>
        <v>Domaine Jean-Marc Pillot Chassagne-Montrachet 'Les Champs Gains' Premier Cru2022</v>
      </c>
      <c r="J1199">
        <f t="shared" si="76"/>
        <v>1</v>
      </c>
    </row>
    <row r="1200" spans="1:10">
      <c r="A1200" t="s">
        <v>2368</v>
      </c>
      <c r="B1200" t="s">
        <v>2369</v>
      </c>
      <c r="C1200" t="s">
        <v>289</v>
      </c>
      <c r="D1200" t="str">
        <f t="shared" si="77"/>
        <v>Te Pa Sauvignon Blanc2023</v>
      </c>
      <c r="E1200">
        <f t="shared" si="75"/>
        <v>1</v>
      </c>
      <c r="F1200" t="s">
        <v>2368</v>
      </c>
      <c r="G1200" s="6" t="s">
        <v>2369</v>
      </c>
      <c r="H1200" s="5" t="s">
        <v>289</v>
      </c>
      <c r="I1200" t="str">
        <f t="shared" si="78"/>
        <v>Te Pa Sauvignon Blanc2023</v>
      </c>
      <c r="J1200">
        <f t="shared" si="76"/>
        <v>1</v>
      </c>
    </row>
    <row r="1201" spans="1:10">
      <c r="A1201" t="s">
        <v>2370</v>
      </c>
      <c r="B1201" t="s">
        <v>2371</v>
      </c>
      <c r="C1201" t="s">
        <v>30</v>
      </c>
      <c r="D1201" t="str">
        <f t="shared" si="77"/>
        <v>AJ Vaona Puligny-Montrachet2022</v>
      </c>
      <c r="E1201">
        <f t="shared" si="75"/>
        <v>1</v>
      </c>
      <c r="F1201" t="s">
        <v>2370</v>
      </c>
      <c r="G1201" s="6" t="s">
        <v>2371</v>
      </c>
      <c r="H1201" s="5" t="s">
        <v>30</v>
      </c>
      <c r="I1201" t="str">
        <f t="shared" si="78"/>
        <v>AJ Vaona Puligny-Montrachet2022</v>
      </c>
      <c r="J1201">
        <f t="shared" si="76"/>
        <v>1</v>
      </c>
    </row>
    <row r="1202" spans="1:10">
      <c r="A1202" t="s">
        <v>2372</v>
      </c>
      <c r="B1202" t="s">
        <v>2373</v>
      </c>
      <c r="C1202" t="s">
        <v>111</v>
      </c>
      <c r="D1202" t="str">
        <f t="shared" si="77"/>
        <v>Château Cos d'Estournel Blanc2013</v>
      </c>
      <c r="E1202">
        <f t="shared" si="75"/>
        <v>1</v>
      </c>
      <c r="F1202" t="s">
        <v>2372</v>
      </c>
      <c r="G1202" s="6" t="s">
        <v>2373</v>
      </c>
      <c r="H1202" s="5" t="s">
        <v>111</v>
      </c>
      <c r="I1202" t="str">
        <f t="shared" si="78"/>
        <v>Château Cos d'Estournel Blanc2013</v>
      </c>
      <c r="J1202">
        <f t="shared" si="76"/>
        <v>1</v>
      </c>
    </row>
    <row r="1203" spans="1:10">
      <c r="A1203" t="s">
        <v>2374</v>
      </c>
      <c r="B1203" t="s">
        <v>2345</v>
      </c>
      <c r="C1203" t="s">
        <v>30</v>
      </c>
      <c r="D1203" t="str">
        <f t="shared" si="77"/>
        <v>Defaix Frères Chablis 'Bougros' Grand Cru2022</v>
      </c>
      <c r="E1203">
        <f t="shared" si="75"/>
        <v>1</v>
      </c>
      <c r="F1203" t="s">
        <v>2374</v>
      </c>
      <c r="G1203" s="6" t="s">
        <v>2345</v>
      </c>
      <c r="H1203" s="5" t="s">
        <v>30</v>
      </c>
      <c r="I1203" t="str">
        <f t="shared" si="78"/>
        <v>Defaix Frères Chablis 'Bougros' Grand Cru2022</v>
      </c>
      <c r="J1203">
        <f t="shared" si="76"/>
        <v>1</v>
      </c>
    </row>
    <row r="1204" spans="1:10">
      <c r="A1204" t="s">
        <v>2375</v>
      </c>
      <c r="B1204" t="s">
        <v>2376</v>
      </c>
      <c r="C1204" t="s">
        <v>144</v>
      </c>
      <c r="D1204" t="str">
        <f t="shared" si="77"/>
        <v>Domaine de la Fontainerie Vouvray 'Coteau les Brûlés' SecNV</v>
      </c>
      <c r="E1204">
        <f t="shared" si="75"/>
        <v>1</v>
      </c>
      <c r="F1204" t="s">
        <v>2375</v>
      </c>
      <c r="G1204" s="6" t="s">
        <v>2376</v>
      </c>
      <c r="H1204" s="5" t="s">
        <v>144</v>
      </c>
      <c r="I1204" t="str">
        <f t="shared" si="78"/>
        <v>Domaine de la Fontainerie Vouvray 'Coteau les Brûlés' SecNV</v>
      </c>
      <c r="J1204">
        <f t="shared" si="76"/>
        <v>1</v>
      </c>
    </row>
    <row r="1205" spans="1:10">
      <c r="A1205" t="s">
        <v>2377</v>
      </c>
      <c r="B1205" t="s">
        <v>2378</v>
      </c>
      <c r="C1205" t="s">
        <v>92</v>
      </c>
      <c r="D1205" t="str">
        <f t="shared" si="77"/>
        <v>Domaine Francois Gaunoux Meursault 'Goutte d'Or' Premier Cru2020</v>
      </c>
      <c r="E1205">
        <f t="shared" si="75"/>
        <v>1</v>
      </c>
      <c r="F1205" t="s">
        <v>2377</v>
      </c>
      <c r="G1205" s="6" t="s">
        <v>2378</v>
      </c>
      <c r="H1205" s="5" t="s">
        <v>92</v>
      </c>
      <c r="I1205" t="str">
        <f t="shared" si="78"/>
        <v>Domaine Francois Gaunoux Meursault 'Goutte d'Or' Premier Cru2020</v>
      </c>
      <c r="J1205">
        <f t="shared" si="76"/>
        <v>1</v>
      </c>
    </row>
    <row r="1206" spans="1:10">
      <c r="A1206" t="s">
        <v>2379</v>
      </c>
      <c r="B1206" t="s">
        <v>2318</v>
      </c>
      <c r="C1206" t="s">
        <v>92</v>
      </c>
      <c r="D1206" t="str">
        <f t="shared" si="77"/>
        <v>Château Lafont-Fourcat Blanc2020</v>
      </c>
      <c r="E1206">
        <f t="shared" si="75"/>
        <v>1</v>
      </c>
      <c r="F1206" t="s">
        <v>2379</v>
      </c>
      <c r="G1206" s="6" t="s">
        <v>2318</v>
      </c>
      <c r="H1206" s="5" t="s">
        <v>92</v>
      </c>
      <c r="I1206" t="str">
        <f t="shared" si="78"/>
        <v>Château Lafont-Fourcat Blanc2020</v>
      </c>
      <c r="J1206">
        <f t="shared" si="76"/>
        <v>1</v>
      </c>
    </row>
    <row r="1207" spans="1:10">
      <c r="A1207" t="s">
        <v>2380</v>
      </c>
      <c r="B1207" t="s">
        <v>2381</v>
      </c>
      <c r="C1207" t="s">
        <v>30</v>
      </c>
      <c r="D1207" t="str">
        <f t="shared" si="77"/>
        <v>Domaine Jean-Marc Pillot Chassagne-Montrachet 'Les Chenevottes' Premier Cru2022</v>
      </c>
      <c r="E1207">
        <f t="shared" si="75"/>
        <v>1</v>
      </c>
      <c r="F1207" t="s">
        <v>2380</v>
      </c>
      <c r="G1207" s="6" t="s">
        <v>2381</v>
      </c>
      <c r="H1207" s="5" t="s">
        <v>30</v>
      </c>
      <c r="I1207" t="str">
        <f t="shared" si="78"/>
        <v>Domaine Jean-Marc Pillot Chassagne-Montrachet 'Les Chenevottes' Premier Cru2022</v>
      </c>
      <c r="J1207">
        <f t="shared" si="76"/>
        <v>1</v>
      </c>
    </row>
    <row r="1208" spans="1:10">
      <c r="A1208" t="s">
        <v>2382</v>
      </c>
      <c r="B1208" t="s">
        <v>2383</v>
      </c>
      <c r="C1208" t="s">
        <v>289</v>
      </c>
      <c r="D1208" t="str">
        <f t="shared" si="77"/>
        <v>Xavier Vignon Cotes du Rhone Blanc2023</v>
      </c>
      <c r="E1208">
        <f t="shared" si="75"/>
        <v>1</v>
      </c>
      <c r="F1208" t="s">
        <v>2382</v>
      </c>
      <c r="G1208" s="6" t="s">
        <v>2383</v>
      </c>
      <c r="H1208" s="5" t="s">
        <v>289</v>
      </c>
      <c r="I1208" t="str">
        <f t="shared" si="78"/>
        <v>Xavier Vignon Cotes du Rhone Blanc2023</v>
      </c>
      <c r="J1208">
        <f t="shared" si="76"/>
        <v>1</v>
      </c>
    </row>
    <row r="1209" spans="1:10">
      <c r="A1209" t="s">
        <v>2384</v>
      </c>
      <c r="B1209" t="s">
        <v>2385</v>
      </c>
      <c r="C1209" t="s">
        <v>30</v>
      </c>
      <c r="D1209" t="str">
        <f t="shared" si="77"/>
        <v>Domaine Michel Viré-Clessé 'Quintaine'2022</v>
      </c>
      <c r="E1209">
        <f t="shared" si="75"/>
        <v>1</v>
      </c>
      <c r="F1209" t="s">
        <v>2384</v>
      </c>
      <c r="G1209" s="6" t="s">
        <v>2385</v>
      </c>
      <c r="H1209" s="5" t="s">
        <v>30</v>
      </c>
      <c r="I1209" t="str">
        <f t="shared" si="78"/>
        <v>Domaine Michel Viré-Clessé 'Quintaine'2022</v>
      </c>
      <c r="J1209">
        <f t="shared" si="76"/>
        <v>1</v>
      </c>
    </row>
    <row r="1210" spans="1:10">
      <c r="A1210" t="s">
        <v>2386</v>
      </c>
      <c r="B1210" t="s">
        <v>2387</v>
      </c>
      <c r="C1210" t="s">
        <v>30</v>
      </c>
      <c r="D1210" t="str">
        <f t="shared" si="77"/>
        <v>Weingut Robert Weil 'Kiedricher Klosterberg' Riesling Trocken2022</v>
      </c>
      <c r="E1210">
        <f t="shared" si="75"/>
        <v>1</v>
      </c>
      <c r="F1210" t="s">
        <v>2386</v>
      </c>
      <c r="G1210" s="6" t="s">
        <v>2387</v>
      </c>
      <c r="H1210" s="5" t="s">
        <v>30</v>
      </c>
      <c r="I1210" t="str">
        <f t="shared" si="78"/>
        <v>Weingut Robert Weil 'Kiedricher Klosterberg' Riesling Trocken2022</v>
      </c>
      <c r="J1210">
        <f t="shared" si="76"/>
        <v>1</v>
      </c>
    </row>
    <row r="1211" spans="1:10">
      <c r="A1211" t="s">
        <v>2388</v>
      </c>
      <c r="B1211" t="s">
        <v>2359</v>
      </c>
      <c r="C1211" t="s">
        <v>123</v>
      </c>
      <c r="D1211" t="str">
        <f t="shared" si="77"/>
        <v>Château Pape Clément Blanc2006</v>
      </c>
      <c r="E1211">
        <f t="shared" si="75"/>
        <v>1</v>
      </c>
      <c r="F1211" t="s">
        <v>2388</v>
      </c>
      <c r="G1211" s="6" t="s">
        <v>2359</v>
      </c>
      <c r="H1211" s="5" t="s">
        <v>123</v>
      </c>
      <c r="I1211" t="str">
        <f t="shared" si="78"/>
        <v>Château Pape Clément Blanc2006</v>
      </c>
      <c r="J1211">
        <f t="shared" si="76"/>
        <v>1</v>
      </c>
    </row>
    <row r="1212" spans="1:10">
      <c r="A1212" t="s">
        <v>2389</v>
      </c>
      <c r="B1212" t="s">
        <v>2390</v>
      </c>
      <c r="C1212" t="s">
        <v>111</v>
      </c>
      <c r="D1212" t="str">
        <f t="shared" si="77"/>
        <v>Domaine Daniel-Etienne Defaix Chablis 'Les Grenouilles' Grand Cru2013</v>
      </c>
      <c r="E1212">
        <f t="shared" si="75"/>
        <v>1</v>
      </c>
      <c r="F1212" t="s">
        <v>2389</v>
      </c>
      <c r="G1212" s="6" t="s">
        <v>2390</v>
      </c>
      <c r="H1212" s="5" t="s">
        <v>111</v>
      </c>
      <c r="I1212" t="str">
        <f t="shared" si="78"/>
        <v>Domaine Daniel-Etienne Defaix Chablis 'Les Grenouilles' Grand Cru2013</v>
      </c>
      <c r="J1212">
        <f t="shared" si="76"/>
        <v>1</v>
      </c>
    </row>
    <row r="1213" spans="1:10">
      <c r="A1213" t="s">
        <v>2391</v>
      </c>
      <c r="B1213" t="s">
        <v>2392</v>
      </c>
      <c r="C1213" t="s">
        <v>144</v>
      </c>
      <c r="D1213" t="str">
        <f t="shared" si="77"/>
        <v>Domaine de la Fontainerie Vouvray 'Coteau les Brûlés' Demi-SecNV</v>
      </c>
      <c r="E1213">
        <f t="shared" si="75"/>
        <v>1</v>
      </c>
      <c r="F1213" t="s">
        <v>2391</v>
      </c>
      <c r="G1213" s="6" t="s">
        <v>2392</v>
      </c>
      <c r="H1213" s="5" t="s">
        <v>144</v>
      </c>
      <c r="I1213" t="str">
        <f t="shared" si="78"/>
        <v>Domaine de la Fontainerie Vouvray 'Coteau les Brûlés' Demi-SecNV</v>
      </c>
      <c r="J1213">
        <f t="shared" si="76"/>
        <v>1</v>
      </c>
    </row>
    <row r="1214" spans="1:10">
      <c r="A1214" t="s">
        <v>2393</v>
      </c>
      <c r="B1214" t="s">
        <v>2394</v>
      </c>
      <c r="C1214" t="s">
        <v>92</v>
      </c>
      <c r="D1214" t="str">
        <f t="shared" si="77"/>
        <v>Domaine Francois Mikulski Meursault 'Les Charmes' Premier Cru2020</v>
      </c>
      <c r="E1214">
        <f t="shared" si="75"/>
        <v>1</v>
      </c>
      <c r="F1214" t="s">
        <v>2393</v>
      </c>
      <c r="G1214" s="6" t="s">
        <v>2394</v>
      </c>
      <c r="H1214" s="5" t="s">
        <v>92</v>
      </c>
      <c r="I1214" t="str">
        <f t="shared" si="78"/>
        <v>Domaine Francois Mikulski Meursault 'Les Charmes' Premier Cru2020</v>
      </c>
      <c r="J1214">
        <f t="shared" si="76"/>
        <v>1</v>
      </c>
    </row>
    <row r="1215" spans="1:10">
      <c r="A1215" t="s">
        <v>2395</v>
      </c>
      <c r="B1215" t="s">
        <v>2396</v>
      </c>
      <c r="C1215" t="s">
        <v>30</v>
      </c>
      <c r="D1215" t="str">
        <f t="shared" si="77"/>
        <v>Domaine Francois Mikulski Meursault 'Les Poruzots' Premier Cru2022</v>
      </c>
      <c r="E1215">
        <f t="shared" si="75"/>
        <v>1</v>
      </c>
      <c r="F1215" t="s">
        <v>2395</v>
      </c>
      <c r="G1215" s="6" t="s">
        <v>2396</v>
      </c>
      <c r="H1215" s="5" t="s">
        <v>30</v>
      </c>
      <c r="I1215" t="str">
        <f t="shared" si="78"/>
        <v>Domaine Francois Mikulski Meursault 'Les Poruzots' Premier Cru2022</v>
      </c>
      <c r="J1215">
        <f t="shared" si="76"/>
        <v>1</v>
      </c>
    </row>
    <row r="1216" spans="1:10">
      <c r="A1216" t="s">
        <v>2397</v>
      </c>
      <c r="B1216" t="s">
        <v>2398</v>
      </c>
      <c r="C1216" t="s">
        <v>289</v>
      </c>
      <c r="D1216" t="str">
        <f t="shared" si="77"/>
        <v>Agricola Gianpiero Marrone 'Tre Fie' Langhe Arneis DOC2023</v>
      </c>
      <c r="E1216">
        <f t="shared" si="75"/>
        <v>1</v>
      </c>
      <c r="F1216" t="s">
        <v>2397</v>
      </c>
      <c r="G1216" s="6" t="s">
        <v>2398</v>
      </c>
      <c r="H1216" s="5" t="s">
        <v>289</v>
      </c>
      <c r="I1216" t="str">
        <f t="shared" si="78"/>
        <v>Agricola Gianpiero Marrone 'Tre Fie' Langhe Arneis DOC2023</v>
      </c>
      <c r="J1216">
        <f t="shared" si="76"/>
        <v>1</v>
      </c>
    </row>
    <row r="1217" spans="1:10">
      <c r="A1217" t="s">
        <v>2399</v>
      </c>
      <c r="B1217" t="s">
        <v>2400</v>
      </c>
      <c r="C1217" t="s">
        <v>30</v>
      </c>
      <c r="D1217" t="str">
        <f t="shared" si="77"/>
        <v>Penfolds Koonunga Hill 'Autumn' Riesling2022</v>
      </c>
      <c r="E1217">
        <f t="shared" si="75"/>
        <v>1</v>
      </c>
      <c r="F1217" t="s">
        <v>2399</v>
      </c>
      <c r="G1217" s="6" t="s">
        <v>2400</v>
      </c>
      <c r="H1217" s="5" t="s">
        <v>30</v>
      </c>
      <c r="I1217" t="str">
        <f t="shared" si="78"/>
        <v>Penfolds Koonunga Hill 'Autumn' Riesling2022</v>
      </c>
      <c r="J1217">
        <f t="shared" si="76"/>
        <v>1</v>
      </c>
    </row>
    <row r="1218" spans="1:10">
      <c r="A1218" t="s">
        <v>2401</v>
      </c>
      <c r="B1218" t="s">
        <v>2334</v>
      </c>
      <c r="C1218" t="s">
        <v>30</v>
      </c>
      <c r="D1218" t="str">
        <f t="shared" si="77"/>
        <v>Thunevin-Calvet 'Cuvee Constance' Blanc2022</v>
      </c>
      <c r="E1218">
        <f t="shared" si="75"/>
        <v>1</v>
      </c>
      <c r="F1218" t="s">
        <v>2401</v>
      </c>
      <c r="G1218" s="6" t="s">
        <v>2334</v>
      </c>
      <c r="H1218" s="5" t="s">
        <v>30</v>
      </c>
      <c r="I1218" t="str">
        <f t="shared" si="78"/>
        <v>Thunevin-Calvet 'Cuvee Constance' Blanc2022</v>
      </c>
      <c r="J1218">
        <f t="shared" si="76"/>
        <v>1</v>
      </c>
    </row>
    <row r="1219" spans="1:10">
      <c r="A1219" t="s">
        <v>2402</v>
      </c>
      <c r="B1219" t="s">
        <v>2403</v>
      </c>
      <c r="C1219" t="s">
        <v>30</v>
      </c>
      <c r="D1219" t="str">
        <f t="shared" si="77"/>
        <v>Cour de la Roche Touraine Sauvignon Blanc2022</v>
      </c>
      <c r="E1219">
        <f t="shared" ref="E1219:E1231" si="79">IF(A1219=F1219,1,0)</f>
        <v>1</v>
      </c>
      <c r="F1219" t="s">
        <v>2402</v>
      </c>
      <c r="G1219" s="6" t="s">
        <v>2403</v>
      </c>
      <c r="H1219" s="5" t="s">
        <v>30</v>
      </c>
      <c r="I1219" t="str">
        <f t="shared" si="78"/>
        <v>Cour de la Roche Touraine Sauvignon Blanc2022</v>
      </c>
      <c r="J1219">
        <f t="shared" ref="J1219:J1231" si="80">IF(D1219=I1219,1,0)</f>
        <v>1</v>
      </c>
    </row>
    <row r="1220" spans="1:10">
      <c r="A1220" t="s">
        <v>2404</v>
      </c>
      <c r="B1220" t="s">
        <v>2312</v>
      </c>
      <c r="C1220" t="s">
        <v>239</v>
      </c>
      <c r="D1220" t="str">
        <f t="shared" si="77"/>
        <v>Domaine Daniel-Etienne Defaix Chablis 'Vaillon' Premier Cru2011</v>
      </c>
      <c r="E1220">
        <f t="shared" si="79"/>
        <v>1</v>
      </c>
      <c r="F1220" t="s">
        <v>2404</v>
      </c>
      <c r="G1220" s="6" t="s">
        <v>2312</v>
      </c>
      <c r="H1220" s="5" t="s">
        <v>239</v>
      </c>
      <c r="I1220" t="str">
        <f t="shared" si="78"/>
        <v>Domaine Daniel-Etienne Defaix Chablis 'Vaillon' Premier Cru2011</v>
      </c>
      <c r="J1220">
        <f t="shared" si="80"/>
        <v>1</v>
      </c>
    </row>
    <row r="1221" spans="1:10">
      <c r="A1221" t="s">
        <v>2405</v>
      </c>
      <c r="B1221" t="s">
        <v>2406</v>
      </c>
      <c r="C1221" t="s">
        <v>81</v>
      </c>
      <c r="D1221" t="str">
        <f t="shared" si="77"/>
        <v>M. Chapoutier Domaine de Bila-Haut Côtes du Roussillon Villages 'Occultum Lapidem' Blanc2019</v>
      </c>
      <c r="E1221">
        <f t="shared" si="79"/>
        <v>1</v>
      </c>
      <c r="F1221" t="s">
        <v>2405</v>
      </c>
      <c r="G1221" s="6" t="s">
        <v>2406</v>
      </c>
      <c r="H1221" s="5" t="s">
        <v>81</v>
      </c>
      <c r="I1221" t="str">
        <f t="shared" si="78"/>
        <v>M. Chapoutier Domaine de Bila-Haut Côtes du Roussillon Villages 'Occultum Lapidem' Blanc2019</v>
      </c>
      <c r="J1221">
        <f t="shared" si="80"/>
        <v>1</v>
      </c>
    </row>
    <row r="1222" spans="1:10">
      <c r="A1222" t="s">
        <v>2407</v>
      </c>
      <c r="B1222" t="s">
        <v>2378</v>
      </c>
      <c r="C1222" t="s">
        <v>81</v>
      </c>
      <c r="D1222" t="str">
        <f t="shared" si="77"/>
        <v>Domaine Francois Gaunoux Meursault 'Goutte d'Or' Premier Cru2019</v>
      </c>
      <c r="E1222">
        <f t="shared" si="79"/>
        <v>1</v>
      </c>
      <c r="F1222" t="s">
        <v>2407</v>
      </c>
      <c r="G1222" s="6" t="s">
        <v>2378</v>
      </c>
      <c r="H1222" s="5" t="s">
        <v>81</v>
      </c>
      <c r="I1222" t="str">
        <f t="shared" si="78"/>
        <v>Domaine Francois Gaunoux Meursault 'Goutte d'Or' Premier Cru2019</v>
      </c>
      <c r="J1222">
        <f t="shared" si="80"/>
        <v>1</v>
      </c>
    </row>
    <row r="1223" spans="1:10">
      <c r="A1223" t="s">
        <v>2408</v>
      </c>
      <c r="B1223" t="s">
        <v>2409</v>
      </c>
      <c r="C1223" t="s">
        <v>92</v>
      </c>
      <c r="D1223" t="str">
        <f t="shared" ref="D1223:D1231" si="81">B1223&amp;C1223</f>
        <v>Domaine Francois Gaunoux Meursault 'Le Clos de Tavaux' Monopole2020</v>
      </c>
      <c r="E1223">
        <f t="shared" si="79"/>
        <v>1</v>
      </c>
      <c r="F1223" t="s">
        <v>2408</v>
      </c>
      <c r="G1223" s="6" t="s">
        <v>2409</v>
      </c>
      <c r="H1223" s="5" t="s">
        <v>92</v>
      </c>
      <c r="I1223" t="str">
        <f t="shared" ref="I1223:I1231" si="82">G1223&amp;H1223</f>
        <v>Domaine Francois Gaunoux Meursault 'Le Clos de Tavaux' Monopole2020</v>
      </c>
      <c r="J1223">
        <f t="shared" si="80"/>
        <v>1</v>
      </c>
    </row>
    <row r="1224" spans="1:10">
      <c r="A1224" t="s">
        <v>2410</v>
      </c>
      <c r="B1224" t="s">
        <v>2411</v>
      </c>
      <c r="C1224" t="s">
        <v>81</v>
      </c>
      <c r="D1224" t="str">
        <f t="shared" si="81"/>
        <v>Josmeyer Pinot Gris 'Le Fromenteau'2019</v>
      </c>
      <c r="E1224">
        <f t="shared" si="79"/>
        <v>1</v>
      </c>
      <c r="F1224" t="s">
        <v>2410</v>
      </c>
      <c r="G1224" s="6" t="s">
        <v>2411</v>
      </c>
      <c r="H1224" s="5" t="s">
        <v>81</v>
      </c>
      <c r="I1224" t="str">
        <f t="shared" si="82"/>
        <v>Josmeyer Pinot Gris 'Le Fromenteau'2019</v>
      </c>
      <c r="J1224">
        <f t="shared" si="80"/>
        <v>1</v>
      </c>
    </row>
    <row r="1225" spans="1:10">
      <c r="A1225" t="s">
        <v>2412</v>
      </c>
      <c r="B1225" t="s">
        <v>2413</v>
      </c>
      <c r="C1225" t="s">
        <v>118</v>
      </c>
      <c r="D1225" t="str">
        <f t="shared" si="81"/>
        <v>Pierre Girardin Puligny-Montrachet 'Les Folatières' Premier Cru2018</v>
      </c>
      <c r="E1225">
        <f t="shared" si="79"/>
        <v>1</v>
      </c>
      <c r="F1225" t="s">
        <v>2412</v>
      </c>
      <c r="G1225" s="6" t="s">
        <v>2413</v>
      </c>
      <c r="H1225" s="5" t="s">
        <v>118</v>
      </c>
      <c r="I1225" t="str">
        <f t="shared" si="82"/>
        <v>Pierre Girardin Puligny-Montrachet 'Les Folatières' Premier Cru2018</v>
      </c>
      <c r="J1225">
        <f t="shared" si="80"/>
        <v>1</v>
      </c>
    </row>
    <row r="1226" spans="1:10">
      <c r="A1226" t="s">
        <v>2414</v>
      </c>
      <c r="B1226" t="s">
        <v>2415</v>
      </c>
      <c r="C1226" t="s">
        <v>2416</v>
      </c>
      <c r="D1226" t="str">
        <f t="shared" si="81"/>
        <v>F.E. Trimbach Pinot Gris 'Réserve Personnelle'1996</v>
      </c>
      <c r="E1226">
        <f t="shared" si="79"/>
        <v>1</v>
      </c>
      <c r="F1226" t="s">
        <v>2414</v>
      </c>
      <c r="G1226" s="6" t="s">
        <v>2415</v>
      </c>
      <c r="H1226" s="5" t="s">
        <v>2416</v>
      </c>
      <c r="I1226" t="str">
        <f t="shared" si="82"/>
        <v>F.E. Trimbach Pinot Gris 'Réserve Personnelle'1996</v>
      </c>
      <c r="J1226">
        <f t="shared" si="80"/>
        <v>1</v>
      </c>
    </row>
    <row r="1227" spans="1:10">
      <c r="A1227" t="s">
        <v>2417</v>
      </c>
      <c r="B1227" t="s">
        <v>2418</v>
      </c>
      <c r="C1227" t="s">
        <v>239</v>
      </c>
      <c r="D1227" t="str">
        <f t="shared" si="81"/>
        <v>F.E. Trimbach Riesling 'Clos Sainte Hune'2011</v>
      </c>
      <c r="E1227">
        <f t="shared" si="79"/>
        <v>1</v>
      </c>
      <c r="F1227" t="s">
        <v>2417</v>
      </c>
      <c r="G1227" s="6" t="s">
        <v>2418</v>
      </c>
      <c r="H1227" s="5" t="s">
        <v>239</v>
      </c>
      <c r="I1227" t="str">
        <f t="shared" si="82"/>
        <v>F.E. Trimbach Riesling 'Clos Sainte Hune'2011</v>
      </c>
      <c r="J1227">
        <f t="shared" si="80"/>
        <v>1</v>
      </c>
    </row>
    <row r="1228" spans="1:10">
      <c r="A1228" t="s">
        <v>2419</v>
      </c>
      <c r="B1228" t="s">
        <v>2420</v>
      </c>
      <c r="C1228" t="s">
        <v>30</v>
      </c>
      <c r="D1228" t="str">
        <f t="shared" si="81"/>
        <v>Weingut Robert Weil Riesling Trocken2022</v>
      </c>
      <c r="E1228">
        <f t="shared" si="79"/>
        <v>1</v>
      </c>
      <c r="F1228" t="s">
        <v>2419</v>
      </c>
      <c r="G1228" s="6" t="s">
        <v>2420</v>
      </c>
      <c r="H1228" s="5" t="s">
        <v>30</v>
      </c>
      <c r="I1228" t="str">
        <f t="shared" si="82"/>
        <v>Weingut Robert Weil Riesling Trocken2022</v>
      </c>
      <c r="J1228">
        <f t="shared" si="80"/>
        <v>1</v>
      </c>
    </row>
    <row r="1229" spans="1:10">
      <c r="A1229" t="s">
        <v>2421</v>
      </c>
      <c r="B1229" t="s">
        <v>2310</v>
      </c>
      <c r="C1229" t="s">
        <v>289</v>
      </c>
      <c r="D1229" t="str">
        <f t="shared" si="81"/>
        <v>Bruno Giacosa Roero Arneis DOCG2023</v>
      </c>
      <c r="E1229">
        <f t="shared" si="79"/>
        <v>1</v>
      </c>
      <c r="F1229" t="s">
        <v>2421</v>
      </c>
      <c r="G1229" s="6" t="s">
        <v>2310</v>
      </c>
      <c r="H1229" s="5" t="s">
        <v>289</v>
      </c>
      <c r="I1229" t="str">
        <f t="shared" si="82"/>
        <v>Bruno Giacosa Roero Arneis DOCG2023</v>
      </c>
      <c r="J1229">
        <f t="shared" si="80"/>
        <v>1</v>
      </c>
    </row>
    <row r="1230" spans="1:10">
      <c r="A1230" t="s">
        <v>2422</v>
      </c>
      <c r="B1230" t="s">
        <v>2423</v>
      </c>
      <c r="C1230" t="s">
        <v>30</v>
      </c>
      <c r="D1230" t="str">
        <f t="shared" si="81"/>
        <v>Defaix Frères Chablis Vieilles Vignes2022</v>
      </c>
      <c r="E1230">
        <f t="shared" si="79"/>
        <v>1</v>
      </c>
      <c r="F1230" t="s">
        <v>2422</v>
      </c>
      <c r="G1230" s="6" t="s">
        <v>2423</v>
      </c>
      <c r="H1230" s="5" t="s">
        <v>30</v>
      </c>
      <c r="I1230" t="str">
        <f t="shared" si="82"/>
        <v>Defaix Frères Chablis Vieilles Vignes2022</v>
      </c>
      <c r="J1230">
        <f t="shared" si="80"/>
        <v>1</v>
      </c>
    </row>
    <row r="1231" spans="1:10">
      <c r="A1231" t="s">
        <v>2424</v>
      </c>
      <c r="B1231" t="s">
        <v>2425</v>
      </c>
      <c r="C1231" t="s">
        <v>118</v>
      </c>
      <c r="D1231" t="str">
        <f t="shared" si="81"/>
        <v>Château Mont-Perat Blanc2018</v>
      </c>
      <c r="E1231">
        <f t="shared" si="79"/>
        <v>1</v>
      </c>
      <c r="F1231" t="s">
        <v>2424</v>
      </c>
      <c r="G1231" s="6" t="s">
        <v>2425</v>
      </c>
      <c r="H1231" s="5" t="s">
        <v>118</v>
      </c>
      <c r="I1231" t="str">
        <f t="shared" si="82"/>
        <v>Château Mont-Perat Blanc2018</v>
      </c>
      <c r="J1231">
        <f t="shared" si="80"/>
        <v>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928E0-8CC2-4BB4-B506-5E4D93BA6DAB}">
  <dimension ref="A1:I310"/>
  <sheetViews>
    <sheetView topLeftCell="A281" workbookViewId="0">
      <selection activeCell="D1" sqref="D1:D310"/>
    </sheetView>
  </sheetViews>
  <sheetFormatPr defaultRowHeight="13.5"/>
  <cols>
    <col min="7" max="8" width="53.625" bestFit="1" customWidth="1"/>
  </cols>
  <sheetData>
    <row r="1" spans="1:9">
      <c r="A1" s="5" t="s">
        <v>1436</v>
      </c>
      <c r="B1" s="6" t="s">
        <v>1851</v>
      </c>
      <c r="C1" s="5">
        <v>2023</v>
      </c>
      <c r="D1" t="s">
        <v>1850</v>
      </c>
      <c r="E1" t="s">
        <v>1851</v>
      </c>
      <c r="F1" t="s">
        <v>289</v>
      </c>
      <c r="G1" t="str">
        <f>B1&amp;C1</f>
        <v>Domaine Albert Joly Puligny-Montrachet 'Les Reuchaux'2023</v>
      </c>
      <c r="H1" t="str">
        <f>E1&amp;F1</f>
        <v>Domaine Albert Joly Puligny-Montrachet 'Les Reuchaux'2023</v>
      </c>
      <c r="I1">
        <f>IF(G1=H1,1,0)</f>
        <v>1</v>
      </c>
    </row>
    <row r="2" spans="1:9">
      <c r="A2" s="5" t="s">
        <v>1437</v>
      </c>
      <c r="B2" s="6" t="s">
        <v>1853</v>
      </c>
      <c r="C2" s="5">
        <v>2023</v>
      </c>
      <c r="D2" t="s">
        <v>1852</v>
      </c>
      <c r="E2" t="s">
        <v>1853</v>
      </c>
      <c r="F2" t="s">
        <v>289</v>
      </c>
      <c r="G2" t="str">
        <f t="shared" ref="G2:G65" si="0">B2&amp;C2</f>
        <v>Domaine Chavy Chouet Puligny-Montrachet 'Les Enseigneres'2023</v>
      </c>
      <c r="H2" t="str">
        <f t="shared" ref="H2:H65" si="1">E2&amp;F2</f>
        <v>Domaine Chavy Chouet Puligny-Montrachet 'Les Enseigneres'2023</v>
      </c>
      <c r="I2">
        <f t="shared" ref="I2:I65" si="2">IF(G2=H2,1,0)</f>
        <v>1</v>
      </c>
    </row>
    <row r="3" spans="1:9">
      <c r="A3" s="5" t="s">
        <v>1439</v>
      </c>
      <c r="B3" s="6" t="s">
        <v>1855</v>
      </c>
      <c r="C3" s="5">
        <v>2022</v>
      </c>
      <c r="D3" t="s">
        <v>1854</v>
      </c>
      <c r="E3" t="s">
        <v>1855</v>
      </c>
      <c r="F3" t="s">
        <v>30</v>
      </c>
      <c r="G3" t="str">
        <f t="shared" si="0"/>
        <v>Domaine Clos des Rocs Pouilly Loche 'Les Mures'2022</v>
      </c>
      <c r="H3" t="str">
        <f t="shared" si="1"/>
        <v>Domaine Clos des Rocs Pouilly Loche 'Les Mures'2022</v>
      </c>
      <c r="I3">
        <f t="shared" si="2"/>
        <v>1</v>
      </c>
    </row>
    <row r="4" spans="1:9">
      <c r="A4" s="5" t="s">
        <v>1440</v>
      </c>
      <c r="B4" s="6" t="s">
        <v>1857</v>
      </c>
      <c r="C4" s="5">
        <v>2022</v>
      </c>
      <c r="D4" t="s">
        <v>1856</v>
      </c>
      <c r="E4" t="s">
        <v>1857</v>
      </c>
      <c r="F4" t="s">
        <v>30</v>
      </c>
      <c r="G4" t="str">
        <f t="shared" si="0"/>
        <v>Domaine Naima &amp; David Didon Bourgogne Blanc2022</v>
      </c>
      <c r="H4" t="str">
        <f t="shared" si="1"/>
        <v>Domaine Naima &amp; David Didon Bourgogne Blanc2022</v>
      </c>
      <c r="I4">
        <f t="shared" si="2"/>
        <v>1</v>
      </c>
    </row>
    <row r="5" spans="1:9">
      <c r="A5" s="5" t="s">
        <v>1441</v>
      </c>
      <c r="B5" s="6" t="s">
        <v>1859</v>
      </c>
      <c r="C5" s="5">
        <v>2022</v>
      </c>
      <c r="D5" t="s">
        <v>1858</v>
      </c>
      <c r="E5" t="s">
        <v>1859</v>
      </c>
      <c r="F5" t="s">
        <v>30</v>
      </c>
      <c r="G5" t="str">
        <f t="shared" si="0"/>
        <v>Guy Bocard Bourgogne Côte d'Or2022</v>
      </c>
      <c r="H5" t="str">
        <f t="shared" si="1"/>
        <v>Guy Bocard Bourgogne Côte d'Or2022</v>
      </c>
      <c r="I5">
        <f t="shared" si="2"/>
        <v>1</v>
      </c>
    </row>
    <row r="6" spans="1:9">
      <c r="A6" s="5" t="s">
        <v>1443</v>
      </c>
      <c r="B6" s="6" t="s">
        <v>1861</v>
      </c>
      <c r="C6" s="5">
        <v>2023</v>
      </c>
      <c r="D6" t="s">
        <v>1860</v>
      </c>
      <c r="E6" t="s">
        <v>1861</v>
      </c>
      <c r="F6" t="s">
        <v>289</v>
      </c>
      <c r="G6" t="str">
        <f t="shared" si="0"/>
        <v>Patrick Javillier Meursault 'Clos du Cromin'2023</v>
      </c>
      <c r="H6" t="str">
        <f t="shared" si="1"/>
        <v>Patrick Javillier Meursault 'Clos du Cromin'2023</v>
      </c>
      <c r="I6">
        <f t="shared" si="2"/>
        <v>1</v>
      </c>
    </row>
    <row r="7" spans="1:9">
      <c r="A7" s="5" t="s">
        <v>1444</v>
      </c>
      <c r="B7" s="6" t="s">
        <v>1863</v>
      </c>
      <c r="C7" s="5">
        <v>2022</v>
      </c>
      <c r="D7" t="s">
        <v>1862</v>
      </c>
      <c r="E7" t="s">
        <v>1863</v>
      </c>
      <c r="F7" t="s">
        <v>30</v>
      </c>
      <c r="G7" t="str">
        <f t="shared" si="0"/>
        <v>Domaine Pinson Freres Chablis 'La Foret' Premier Cru2022</v>
      </c>
      <c r="H7" t="str">
        <f t="shared" si="1"/>
        <v>Domaine Pinson Freres Chablis 'La Foret' Premier Cru2022</v>
      </c>
      <c r="I7">
        <f t="shared" si="2"/>
        <v>1</v>
      </c>
    </row>
    <row r="8" spans="1:9">
      <c r="A8" s="5" t="s">
        <v>1446</v>
      </c>
      <c r="B8" s="6" t="s">
        <v>1865</v>
      </c>
      <c r="C8" s="5">
        <v>2022</v>
      </c>
      <c r="D8" t="s">
        <v>1864</v>
      </c>
      <c r="E8" t="s">
        <v>1865</v>
      </c>
      <c r="F8" t="s">
        <v>30</v>
      </c>
      <c r="G8" t="str">
        <f t="shared" si="0"/>
        <v>Sylvain Dussort Bourgogne Aligoté2022</v>
      </c>
      <c r="H8" t="str">
        <f t="shared" si="1"/>
        <v>Sylvain Dussort Bourgogne Aligoté2022</v>
      </c>
      <c r="I8">
        <f t="shared" si="2"/>
        <v>1</v>
      </c>
    </row>
    <row r="9" spans="1:9">
      <c r="A9" s="5" t="s">
        <v>1447</v>
      </c>
      <c r="B9" s="6" t="s">
        <v>1867</v>
      </c>
      <c r="C9" s="5">
        <v>2020</v>
      </c>
      <c r="D9" t="s">
        <v>1866</v>
      </c>
      <c r="E9" t="s">
        <v>1867</v>
      </c>
      <c r="F9" t="s">
        <v>92</v>
      </c>
      <c r="G9" t="str">
        <f t="shared" si="0"/>
        <v>Alain Maurice Gavignet Nuits-Saint-Georges 'Les Chaboeufs' Premier Cru2020</v>
      </c>
      <c r="H9" t="str">
        <f t="shared" si="1"/>
        <v>Alain Maurice Gavignet Nuits-Saint-Georges 'Les Chaboeufs' Premier Cru2020</v>
      </c>
      <c r="I9">
        <f t="shared" si="2"/>
        <v>1</v>
      </c>
    </row>
    <row r="10" spans="1:9">
      <c r="A10" s="5" t="s">
        <v>1449</v>
      </c>
      <c r="B10" s="6" t="s">
        <v>1869</v>
      </c>
      <c r="C10" s="5">
        <v>2023</v>
      </c>
      <c r="D10" t="s">
        <v>1868</v>
      </c>
      <c r="E10" t="s">
        <v>1869</v>
      </c>
      <c r="F10" t="s">
        <v>289</v>
      </c>
      <c r="G10" t="str">
        <f t="shared" si="0"/>
        <v>Domaine Buisson-Charles Beaune 'Les Teurons' Premier Cru2023</v>
      </c>
      <c r="H10" t="str">
        <f t="shared" si="1"/>
        <v>Domaine Buisson-Charles Beaune 'Les Teurons' Premier Cru2023</v>
      </c>
      <c r="I10">
        <f t="shared" si="2"/>
        <v>1</v>
      </c>
    </row>
    <row r="11" spans="1:9">
      <c r="A11" s="5" t="s">
        <v>1450</v>
      </c>
      <c r="B11" s="6" t="s">
        <v>1871</v>
      </c>
      <c r="C11" s="5">
        <v>2022</v>
      </c>
      <c r="D11" t="s">
        <v>1870</v>
      </c>
      <c r="E11" t="s">
        <v>1871</v>
      </c>
      <c r="F11" t="s">
        <v>30</v>
      </c>
      <c r="G11" t="str">
        <f t="shared" si="0"/>
        <v>Domaine Naima &amp; David Didon Bourgogne ' Cuvee Longue' Rouge2022</v>
      </c>
      <c r="H11" t="str">
        <f t="shared" si="1"/>
        <v>Domaine Naima &amp; David Didon Bourgogne ' Cuvee Longue' Rouge2022</v>
      </c>
      <c r="I11">
        <f t="shared" si="2"/>
        <v>1</v>
      </c>
    </row>
    <row r="12" spans="1:9">
      <c r="A12" s="5" t="s">
        <v>1452</v>
      </c>
      <c r="B12" s="6" t="s">
        <v>1873</v>
      </c>
      <c r="C12" s="5">
        <v>2022</v>
      </c>
      <c r="D12" t="s">
        <v>1872</v>
      </c>
      <c r="E12" t="s">
        <v>1873</v>
      </c>
      <c r="F12" t="s">
        <v>30</v>
      </c>
      <c r="G12" t="str">
        <f t="shared" si="0"/>
        <v>Dominique Laurent Gevrey-Chambertin 'Les Champeaux' Premier Cru2022</v>
      </c>
      <c r="H12" t="str">
        <f t="shared" si="1"/>
        <v>Dominique Laurent Gevrey-Chambertin 'Les Champeaux' Premier Cru2022</v>
      </c>
      <c r="I12">
        <f t="shared" si="2"/>
        <v>1</v>
      </c>
    </row>
    <row r="13" spans="1:9">
      <c r="A13" s="5" t="s">
        <v>1454</v>
      </c>
      <c r="B13" s="6" t="s">
        <v>1875</v>
      </c>
      <c r="C13" s="5">
        <v>2022</v>
      </c>
      <c r="D13" t="s">
        <v>1874</v>
      </c>
      <c r="E13" t="s">
        <v>1875</v>
      </c>
      <c r="F13" t="s">
        <v>30</v>
      </c>
      <c r="G13" t="str">
        <f t="shared" si="0"/>
        <v>Domaine Gachot-Monot Côte de Nuits-Villages 'Les Chaillots'2022</v>
      </c>
      <c r="H13" t="str">
        <f t="shared" si="1"/>
        <v>Domaine Gachot-Monot Côte de Nuits-Villages 'Les Chaillots'2022</v>
      </c>
      <c r="I13">
        <f t="shared" si="2"/>
        <v>1</v>
      </c>
    </row>
    <row r="14" spans="1:9">
      <c r="A14" s="5" t="s">
        <v>1455</v>
      </c>
      <c r="B14" s="6" t="s">
        <v>1877</v>
      </c>
      <c r="C14" s="5">
        <v>2023</v>
      </c>
      <c r="D14" t="s">
        <v>1876</v>
      </c>
      <c r="E14" t="s">
        <v>1877</v>
      </c>
      <c r="F14" t="s">
        <v>289</v>
      </c>
      <c r="G14" t="str">
        <f t="shared" si="0"/>
        <v>Julien Sunier Morgon 2023</v>
      </c>
      <c r="H14" t="str">
        <f t="shared" si="1"/>
        <v>Julien Sunier Morgon 2023</v>
      </c>
      <c r="I14">
        <f t="shared" si="2"/>
        <v>1</v>
      </c>
    </row>
    <row r="15" spans="1:9">
      <c r="A15" s="5" t="s">
        <v>2450</v>
      </c>
      <c r="B15" s="6" t="s">
        <v>1879</v>
      </c>
      <c r="C15" s="5">
        <v>2022</v>
      </c>
      <c r="D15" t="s">
        <v>1878</v>
      </c>
      <c r="E15" t="s">
        <v>1879</v>
      </c>
      <c r="F15" t="s">
        <v>30</v>
      </c>
      <c r="G15" t="str">
        <f t="shared" si="0"/>
        <v>Sylvain Dussort Chorey-les-Beaune 'Les Beaumonts'2022</v>
      </c>
      <c r="H15" t="str">
        <f t="shared" si="1"/>
        <v>Sylvain Dussort Chorey-les-Beaune 'Les Beaumonts'2022</v>
      </c>
      <c r="I15">
        <f t="shared" si="2"/>
        <v>1</v>
      </c>
    </row>
    <row r="16" spans="1:9">
      <c r="A16" s="5" t="s">
        <v>1459</v>
      </c>
      <c r="B16" s="6" t="s">
        <v>1881</v>
      </c>
      <c r="C16" s="5">
        <v>2023</v>
      </c>
      <c r="D16" t="s">
        <v>1880</v>
      </c>
      <c r="E16" t="s">
        <v>1881</v>
      </c>
      <c r="F16" t="s">
        <v>289</v>
      </c>
      <c r="G16" t="str">
        <f t="shared" si="0"/>
        <v>Domaine Sylvain Langoureau Bourgogne Hautes Cotes de Beaune 'Clos Marc' Rouge2023</v>
      </c>
      <c r="H16" t="str">
        <f t="shared" si="1"/>
        <v>Domaine Sylvain Langoureau Bourgogne Hautes Cotes de Beaune 'Clos Marc' Rouge2023</v>
      </c>
      <c r="I16">
        <f t="shared" si="2"/>
        <v>1</v>
      </c>
    </row>
    <row r="17" spans="1:9">
      <c r="A17" s="5" t="s">
        <v>1461</v>
      </c>
      <c r="B17" s="6" t="s">
        <v>1883</v>
      </c>
      <c r="C17" s="5" t="s">
        <v>144</v>
      </c>
      <c r="D17" t="s">
        <v>1882</v>
      </c>
      <c r="E17" t="s">
        <v>1883</v>
      </c>
      <c r="F17" t="s">
        <v>144</v>
      </c>
      <c r="G17" t="str">
        <f t="shared" si="0"/>
        <v>Guy Charlemagne Blanc de Blancs Brut Réserve Grand Cru NV</v>
      </c>
      <c r="H17" t="str">
        <f t="shared" si="1"/>
        <v>Guy Charlemagne Blanc de Blancs Brut Réserve Grand Cru NV</v>
      </c>
      <c r="I17">
        <f t="shared" si="2"/>
        <v>1</v>
      </c>
    </row>
    <row r="18" spans="1:9">
      <c r="A18" s="5" t="s">
        <v>1463</v>
      </c>
      <c r="B18" s="6" t="s">
        <v>1885</v>
      </c>
      <c r="C18" s="5" t="s">
        <v>144</v>
      </c>
      <c r="D18" t="s">
        <v>1884</v>
      </c>
      <c r="E18" t="s">
        <v>1885</v>
      </c>
      <c r="F18" t="s">
        <v>144</v>
      </c>
      <c r="G18" t="str">
        <f t="shared" si="0"/>
        <v>Herve Dubois Brut Rose Grand Cru NV</v>
      </c>
      <c r="H18" t="str">
        <f t="shared" si="1"/>
        <v>Herve Dubois Brut Rose Grand Cru NV</v>
      </c>
      <c r="I18">
        <f t="shared" si="2"/>
        <v>1</v>
      </c>
    </row>
    <row r="19" spans="1:9">
      <c r="A19" s="5" t="s">
        <v>1465</v>
      </c>
      <c r="B19" s="6" t="s">
        <v>1887</v>
      </c>
      <c r="C19" s="5" t="s">
        <v>144</v>
      </c>
      <c r="D19" t="s">
        <v>1886</v>
      </c>
      <c r="E19" t="s">
        <v>1887</v>
      </c>
      <c r="F19" t="s">
        <v>144</v>
      </c>
      <c r="G19" t="str">
        <f t="shared" si="0"/>
        <v>Paul Launois 'Illustration' Blanc de Blancs Extra Brut Grand Cru NV</v>
      </c>
      <c r="H19" t="str">
        <f t="shared" si="1"/>
        <v>Paul Launois 'Illustration' Blanc de Blancs Extra Brut Grand Cru NV</v>
      </c>
      <c r="I19">
        <f t="shared" si="2"/>
        <v>1</v>
      </c>
    </row>
    <row r="20" spans="1:9">
      <c r="A20" s="5" t="s">
        <v>1467</v>
      </c>
      <c r="B20" s="6" t="s">
        <v>1889</v>
      </c>
      <c r="C20" s="5">
        <v>2018</v>
      </c>
      <c r="D20" t="s">
        <v>1888</v>
      </c>
      <c r="E20" t="s">
        <v>1889</v>
      </c>
      <c r="F20" t="s">
        <v>118</v>
      </c>
      <c r="G20" t="str">
        <f t="shared" si="0"/>
        <v>Eden Rift Vineyards Reserve Pinot Noir2018</v>
      </c>
      <c r="H20" t="str">
        <f t="shared" si="1"/>
        <v>Eden Rift Vineyards Reserve Pinot Noir2018</v>
      </c>
      <c r="I20">
        <f t="shared" si="2"/>
        <v>1</v>
      </c>
    </row>
    <row r="21" spans="1:9">
      <c r="A21" s="5" t="s">
        <v>1469</v>
      </c>
      <c r="B21" s="6" t="s">
        <v>1891</v>
      </c>
      <c r="C21" s="5">
        <v>2018</v>
      </c>
      <c r="D21" t="s">
        <v>1890</v>
      </c>
      <c r="E21" t="s">
        <v>1891</v>
      </c>
      <c r="F21" t="s">
        <v>118</v>
      </c>
      <c r="G21" t="str">
        <f t="shared" si="0"/>
        <v>Eden Rift Vineyards Reserve Chardonnay2018</v>
      </c>
      <c r="H21" t="str">
        <f t="shared" si="1"/>
        <v>Eden Rift Vineyards Reserve Chardonnay2018</v>
      </c>
      <c r="I21">
        <f t="shared" si="2"/>
        <v>1</v>
      </c>
    </row>
    <row r="22" spans="1:9">
      <c r="A22" s="5" t="s">
        <v>1470</v>
      </c>
      <c r="B22" s="6" t="s">
        <v>2433</v>
      </c>
      <c r="C22" s="5">
        <v>2022</v>
      </c>
      <c r="D22" t="s">
        <v>1892</v>
      </c>
      <c r="E22" t="s">
        <v>1893</v>
      </c>
      <c r="F22" t="s">
        <v>30</v>
      </c>
      <c r="G22" t="str">
        <f t="shared" si="0"/>
        <v>BK Wines 'Carte Blanche' Rouge2022</v>
      </c>
      <c r="H22" t="str">
        <f t="shared" si="1"/>
        <v>BK Wines 'Carte Blanche' Rouge2022</v>
      </c>
      <c r="I22">
        <f t="shared" si="2"/>
        <v>1</v>
      </c>
    </row>
    <row r="23" spans="1:9">
      <c r="A23" s="5" t="s">
        <v>1472</v>
      </c>
      <c r="B23" s="6" t="s">
        <v>2434</v>
      </c>
      <c r="C23" s="5">
        <v>2023</v>
      </c>
      <c r="D23" t="s">
        <v>1894</v>
      </c>
      <c r="E23" t="s">
        <v>1895</v>
      </c>
      <c r="F23" t="s">
        <v>289</v>
      </c>
      <c r="G23" t="str">
        <f t="shared" si="0"/>
        <v>BK Wines 'Swaby' Single Vineyard Chardonnay2023</v>
      </c>
      <c r="H23" t="str">
        <f t="shared" si="1"/>
        <v>BK Wines 'Swaby' Single Vineyard Chardonnay2023</v>
      </c>
      <c r="I23">
        <f t="shared" si="2"/>
        <v>1</v>
      </c>
    </row>
    <row r="24" spans="1:9">
      <c r="A24" s="5" t="s">
        <v>1507</v>
      </c>
      <c r="B24" s="6" t="s">
        <v>1897</v>
      </c>
      <c r="C24" s="5" t="s">
        <v>144</v>
      </c>
      <c r="D24" t="s">
        <v>1896</v>
      </c>
      <c r="E24" t="s">
        <v>1897</v>
      </c>
      <c r="F24" t="s">
        <v>144</v>
      </c>
      <c r="G24" t="str">
        <f t="shared" si="0"/>
        <v>Andre Clouet Grande Reserve Brut NV</v>
      </c>
      <c r="H24" t="str">
        <f t="shared" si="1"/>
        <v>Andre Clouet Grande Reserve Brut NV</v>
      </c>
      <c r="I24">
        <f t="shared" si="2"/>
        <v>1</v>
      </c>
    </row>
    <row r="25" spans="1:9">
      <c r="A25" s="5" t="s">
        <v>1509</v>
      </c>
      <c r="B25" s="6" t="s">
        <v>2435</v>
      </c>
      <c r="C25" s="5" t="s">
        <v>144</v>
      </c>
      <c r="D25" t="s">
        <v>1898</v>
      </c>
      <c r="E25" t="s">
        <v>1899</v>
      </c>
      <c r="F25" t="s">
        <v>144</v>
      </c>
      <c r="G25" t="str">
        <f t="shared" si="0"/>
        <v>Andre Clouet The V6 Experience BrutNV</v>
      </c>
      <c r="H25" t="str">
        <f t="shared" si="1"/>
        <v>Andre Clouet The V6 Experience BrutNV</v>
      </c>
      <c r="I25">
        <f t="shared" si="2"/>
        <v>1</v>
      </c>
    </row>
    <row r="26" spans="1:9">
      <c r="A26" s="5" t="s">
        <v>1511</v>
      </c>
      <c r="B26" s="6" t="s">
        <v>1901</v>
      </c>
      <c r="C26" s="5" t="s">
        <v>222</v>
      </c>
      <c r="D26" t="s">
        <v>1900</v>
      </c>
      <c r="E26" t="s">
        <v>1901</v>
      </c>
      <c r="F26" t="s">
        <v>222</v>
      </c>
      <c r="G26" t="str">
        <f t="shared" si="0"/>
        <v>Andre Clouet 'Dream Vintage' Brut2015</v>
      </c>
      <c r="H26" t="str">
        <f t="shared" si="1"/>
        <v>Andre Clouet 'Dream Vintage' Brut2015</v>
      </c>
      <c r="I26">
        <f t="shared" si="2"/>
        <v>1</v>
      </c>
    </row>
    <row r="27" spans="1:9">
      <c r="A27" s="5" t="s">
        <v>1513</v>
      </c>
      <c r="B27" s="6" t="s">
        <v>1903</v>
      </c>
      <c r="C27" s="5" t="s">
        <v>144</v>
      </c>
      <c r="D27" t="s">
        <v>1902</v>
      </c>
      <c r="E27" t="s">
        <v>1903</v>
      </c>
      <c r="F27" t="s">
        <v>144</v>
      </c>
      <c r="G27" t="str">
        <f t="shared" si="0"/>
        <v>Andre Clouet Brut Rosé Grand Cru (NO. 5)NV</v>
      </c>
      <c r="H27" t="str">
        <f t="shared" si="1"/>
        <v>Andre Clouet Brut Rosé Grand Cru (NO. 5)NV</v>
      </c>
      <c r="I27">
        <f t="shared" si="2"/>
        <v>1</v>
      </c>
    </row>
    <row r="28" spans="1:9">
      <c r="A28" s="5" t="s">
        <v>1514</v>
      </c>
      <c r="B28" s="6" t="s">
        <v>1905</v>
      </c>
      <c r="C28" s="5" t="s">
        <v>144</v>
      </c>
      <c r="D28" t="s">
        <v>1904</v>
      </c>
      <c r="E28" t="s">
        <v>1905</v>
      </c>
      <c r="F28" t="s">
        <v>144</v>
      </c>
      <c r="G28" t="str">
        <f t="shared" si="0"/>
        <v>Andre Clouet 'Un Jour de 1911' Brut (OWC6)NV</v>
      </c>
      <c r="H28" t="str">
        <f t="shared" si="1"/>
        <v>Andre Clouet 'Un Jour de 1911' Brut (OWC6)NV</v>
      </c>
      <c r="I28">
        <f t="shared" si="2"/>
        <v>1</v>
      </c>
    </row>
    <row r="29" spans="1:9">
      <c r="A29" s="5" t="s">
        <v>1516</v>
      </c>
      <c r="B29" s="6" t="s">
        <v>1907</v>
      </c>
      <c r="C29" s="5" t="s">
        <v>144</v>
      </c>
      <c r="D29" t="s">
        <v>1906</v>
      </c>
      <c r="E29" t="s">
        <v>1907</v>
      </c>
      <c r="F29" t="s">
        <v>144</v>
      </c>
      <c r="G29" t="str">
        <f t="shared" si="0"/>
        <v>Varnier Fanniere Brut Rosé Grand CruNV</v>
      </c>
      <c r="H29" t="str">
        <f t="shared" si="1"/>
        <v>Varnier Fanniere Brut Rosé Grand CruNV</v>
      </c>
      <c r="I29">
        <f t="shared" si="2"/>
        <v>1</v>
      </c>
    </row>
    <row r="30" spans="1:9">
      <c r="A30" s="5" t="s">
        <v>1517</v>
      </c>
      <c r="B30" s="6" t="s">
        <v>1909</v>
      </c>
      <c r="C30" s="5" t="s">
        <v>144</v>
      </c>
      <c r="D30" t="s">
        <v>1908</v>
      </c>
      <c r="E30" t="s">
        <v>1909</v>
      </c>
      <c r="F30" t="s">
        <v>144</v>
      </c>
      <c r="G30" t="str">
        <f t="shared" si="0"/>
        <v>Varnier Fanniere 'Cuvee Jean Fanniere Origine' Extra Brut Grand Cru NV</v>
      </c>
      <c r="H30" t="str">
        <f t="shared" si="1"/>
        <v>Varnier Fanniere 'Cuvee Jean Fanniere Origine' Extra Brut Grand Cru NV</v>
      </c>
      <c r="I30">
        <f t="shared" si="2"/>
        <v>1</v>
      </c>
    </row>
    <row r="31" spans="1:9">
      <c r="A31" s="5" t="s">
        <v>1519</v>
      </c>
      <c r="B31" s="6" t="s">
        <v>1911</v>
      </c>
      <c r="C31" s="5" t="s">
        <v>144</v>
      </c>
      <c r="D31" t="s">
        <v>1910</v>
      </c>
      <c r="E31" t="s">
        <v>1911</v>
      </c>
      <c r="F31" t="s">
        <v>144</v>
      </c>
      <c r="G31" t="str">
        <f t="shared" si="0"/>
        <v>Andre Clouet 'Chalky' BrutNV</v>
      </c>
      <c r="H31" t="str">
        <f t="shared" si="1"/>
        <v>Andre Clouet 'Chalky' BrutNV</v>
      </c>
      <c r="I31">
        <f t="shared" si="2"/>
        <v>1</v>
      </c>
    </row>
    <row r="32" spans="1:9">
      <c r="A32" s="5" t="s">
        <v>1521</v>
      </c>
      <c r="B32" s="6" t="s">
        <v>1913</v>
      </c>
      <c r="C32" s="5" t="s">
        <v>144</v>
      </c>
      <c r="D32" t="s">
        <v>1912</v>
      </c>
      <c r="E32" t="s">
        <v>1913</v>
      </c>
      <c r="F32" t="s">
        <v>144</v>
      </c>
      <c r="G32" t="str">
        <f t="shared" si="0"/>
        <v>Varnier Fanniere Brut Grand Cru NV</v>
      </c>
      <c r="H32" t="str">
        <f t="shared" si="1"/>
        <v>Varnier Fanniere Brut Grand Cru NV</v>
      </c>
      <c r="I32">
        <f t="shared" si="2"/>
        <v>1</v>
      </c>
    </row>
    <row r="33" spans="1:9">
      <c r="A33" s="5" t="s">
        <v>1523</v>
      </c>
      <c r="B33" s="6" t="s">
        <v>1915</v>
      </c>
      <c r="C33" s="5" t="s">
        <v>144</v>
      </c>
      <c r="D33" t="s">
        <v>1914</v>
      </c>
      <c r="E33" t="s">
        <v>1915</v>
      </c>
      <c r="F33" t="s">
        <v>144</v>
      </c>
      <c r="G33" t="str">
        <f t="shared" si="0"/>
        <v>Varnier Fanniere 'Esprit de Craie' Extra Brut RoséNV</v>
      </c>
      <c r="H33" t="str">
        <f t="shared" si="1"/>
        <v>Varnier Fanniere 'Esprit de Craie' Extra Brut RoséNV</v>
      </c>
      <c r="I33">
        <f t="shared" si="2"/>
        <v>1</v>
      </c>
    </row>
    <row r="34" spans="1:9">
      <c r="A34" s="5" t="s">
        <v>1525</v>
      </c>
      <c r="B34" s="6" t="s">
        <v>1901</v>
      </c>
      <c r="C34" s="5" t="s">
        <v>172</v>
      </c>
      <c r="D34" t="s">
        <v>1916</v>
      </c>
      <c r="E34" t="s">
        <v>1901</v>
      </c>
      <c r="F34" t="s">
        <v>172</v>
      </c>
      <c r="G34" t="str">
        <f t="shared" si="0"/>
        <v>Andre Clouet 'Dream Vintage' Brut2012</v>
      </c>
      <c r="H34" t="str">
        <f t="shared" si="1"/>
        <v>Andre Clouet 'Dream Vintage' Brut2012</v>
      </c>
      <c r="I34">
        <f t="shared" si="2"/>
        <v>1</v>
      </c>
    </row>
    <row r="35" spans="1:9">
      <c r="A35" s="5" t="s">
        <v>1527</v>
      </c>
      <c r="B35" s="6" t="s">
        <v>1901</v>
      </c>
      <c r="C35" s="5" t="s">
        <v>129</v>
      </c>
      <c r="D35" t="s">
        <v>1917</v>
      </c>
      <c r="E35" t="s">
        <v>1901</v>
      </c>
      <c r="F35" t="s">
        <v>129</v>
      </c>
      <c r="G35" t="str">
        <f t="shared" si="0"/>
        <v>Andre Clouet 'Dream Vintage' Brut2016</v>
      </c>
      <c r="H35" t="str">
        <f t="shared" si="1"/>
        <v>Andre Clouet 'Dream Vintage' Brut2016</v>
      </c>
      <c r="I35">
        <f t="shared" si="2"/>
        <v>1</v>
      </c>
    </row>
    <row r="36" spans="1:9">
      <c r="A36" s="5" t="s">
        <v>1529</v>
      </c>
      <c r="B36" s="6" t="s">
        <v>1919</v>
      </c>
      <c r="C36" s="5" t="s">
        <v>222</v>
      </c>
      <c r="D36" t="s">
        <v>1918</v>
      </c>
      <c r="E36" t="s">
        <v>1919</v>
      </c>
      <c r="F36" t="s">
        <v>222</v>
      </c>
      <c r="G36" t="str">
        <f t="shared" si="0"/>
        <v>Varnier Fanniere Vintage Brut Grand Cru 2015</v>
      </c>
      <c r="H36" t="str">
        <f t="shared" si="1"/>
        <v>Varnier Fanniere Vintage Brut Grand Cru 2015</v>
      </c>
      <c r="I36">
        <f t="shared" si="2"/>
        <v>1</v>
      </c>
    </row>
    <row r="37" spans="1:9">
      <c r="A37" s="5" t="s">
        <v>1530</v>
      </c>
      <c r="B37" s="6" t="s">
        <v>1901</v>
      </c>
      <c r="C37" s="5" t="s">
        <v>129</v>
      </c>
      <c r="D37" t="s">
        <v>1920</v>
      </c>
      <c r="E37" t="s">
        <v>1901</v>
      </c>
      <c r="F37" t="s">
        <v>129</v>
      </c>
      <c r="G37" t="str">
        <f t="shared" si="0"/>
        <v>Andre Clouet 'Dream Vintage' Brut2016</v>
      </c>
      <c r="H37" t="str">
        <f t="shared" si="1"/>
        <v>Andre Clouet 'Dream Vintage' Brut2016</v>
      </c>
      <c r="I37">
        <f t="shared" si="2"/>
        <v>1</v>
      </c>
    </row>
    <row r="38" spans="1:9">
      <c r="A38" s="5" t="s">
        <v>1532</v>
      </c>
      <c r="B38" s="6" t="s">
        <v>1901</v>
      </c>
      <c r="C38" s="5" t="s">
        <v>127</v>
      </c>
      <c r="D38" t="s">
        <v>1921</v>
      </c>
      <c r="E38" t="s">
        <v>1901</v>
      </c>
      <c r="F38" t="s">
        <v>127</v>
      </c>
      <c r="G38" t="str">
        <f t="shared" si="0"/>
        <v>Andre Clouet 'Dream Vintage' Brut2009</v>
      </c>
      <c r="H38" t="str">
        <f t="shared" si="1"/>
        <v>Andre Clouet 'Dream Vintage' Brut2009</v>
      </c>
      <c r="I38">
        <f t="shared" si="2"/>
        <v>1</v>
      </c>
    </row>
    <row r="39" spans="1:9">
      <c r="A39" s="5" t="s">
        <v>1533</v>
      </c>
      <c r="B39" s="6" t="s">
        <v>1923</v>
      </c>
      <c r="C39" s="5" t="s">
        <v>144</v>
      </c>
      <c r="D39" t="s">
        <v>1922</v>
      </c>
      <c r="E39" t="s">
        <v>1923</v>
      </c>
      <c r="F39" t="s">
        <v>144</v>
      </c>
      <c r="G39" t="str">
        <f t="shared" si="0"/>
        <v>Andre Clouet Grande Reserve BrutNV</v>
      </c>
      <c r="H39" t="str">
        <f t="shared" si="1"/>
        <v>Andre Clouet Grande Reserve BrutNV</v>
      </c>
      <c r="I39">
        <f t="shared" si="2"/>
        <v>1</v>
      </c>
    </row>
    <row r="40" spans="1:9">
      <c r="A40" s="5" t="s">
        <v>1535</v>
      </c>
      <c r="B40" s="6" t="s">
        <v>2436</v>
      </c>
      <c r="C40" s="5" t="s">
        <v>144</v>
      </c>
      <c r="D40" t="s">
        <v>1924</v>
      </c>
      <c r="E40" t="s">
        <v>1925</v>
      </c>
      <c r="F40" t="s">
        <v>144</v>
      </c>
      <c r="G40" t="str">
        <f t="shared" si="0"/>
        <v>Andre Clouet 'Un Jour de 1911' Brut (OCB6)NV</v>
      </c>
      <c r="H40" t="str">
        <f t="shared" si="1"/>
        <v>Andre Clouet 'Un Jour de 1911' Brut (OCB6)NV</v>
      </c>
      <c r="I40">
        <f t="shared" si="2"/>
        <v>1</v>
      </c>
    </row>
    <row r="41" spans="1:9">
      <c r="A41" s="5" t="s">
        <v>1538</v>
      </c>
      <c r="B41" s="6" t="s">
        <v>1927</v>
      </c>
      <c r="C41" s="5" t="s">
        <v>222</v>
      </c>
      <c r="D41" t="s">
        <v>1926</v>
      </c>
      <c r="E41" t="s">
        <v>1927</v>
      </c>
      <c r="F41" t="s">
        <v>222</v>
      </c>
      <c r="G41" t="str">
        <f t="shared" si="0"/>
        <v>Andre Clouet Brut Millesime2015</v>
      </c>
      <c r="H41" t="str">
        <f t="shared" si="1"/>
        <v>Andre Clouet Brut Millesime2015</v>
      </c>
      <c r="I41">
        <f t="shared" si="2"/>
        <v>1</v>
      </c>
    </row>
    <row r="42" spans="1:9">
      <c r="A42" s="5" t="s">
        <v>1540</v>
      </c>
      <c r="B42" s="6" t="s">
        <v>1901</v>
      </c>
      <c r="C42" s="5" t="s">
        <v>118</v>
      </c>
      <c r="D42" t="s">
        <v>1928</v>
      </c>
      <c r="E42" t="s">
        <v>1901</v>
      </c>
      <c r="F42" t="s">
        <v>118</v>
      </c>
      <c r="G42" t="str">
        <f t="shared" si="0"/>
        <v>Andre Clouet 'Dream Vintage' Brut2018</v>
      </c>
      <c r="H42" t="str">
        <f t="shared" si="1"/>
        <v>Andre Clouet 'Dream Vintage' Brut2018</v>
      </c>
      <c r="I42">
        <f t="shared" si="2"/>
        <v>1</v>
      </c>
    </row>
    <row r="43" spans="1:9">
      <c r="A43" s="5" t="s">
        <v>1542</v>
      </c>
      <c r="B43" s="6" t="s">
        <v>1930</v>
      </c>
      <c r="C43" s="5" t="s">
        <v>118</v>
      </c>
      <c r="D43" t="s">
        <v>1929</v>
      </c>
      <c r="E43" t="s">
        <v>1930</v>
      </c>
      <c r="F43" t="s">
        <v>118</v>
      </c>
      <c r="G43" t="str">
        <f t="shared" si="0"/>
        <v>Marie Courtin 'Concordance' Blanc de Noirs Extra Brut2018</v>
      </c>
      <c r="H43" t="str">
        <f t="shared" si="1"/>
        <v>Marie Courtin 'Concordance' Blanc de Noirs Extra Brut2018</v>
      </c>
      <c r="I43">
        <f t="shared" si="2"/>
        <v>1</v>
      </c>
    </row>
    <row r="44" spans="1:9">
      <c r="A44" s="5" t="s">
        <v>1544</v>
      </c>
      <c r="B44" s="6" t="s">
        <v>1932</v>
      </c>
      <c r="C44" s="5" t="s">
        <v>111</v>
      </c>
      <c r="D44" t="s">
        <v>1931</v>
      </c>
      <c r="E44" t="s">
        <v>1932</v>
      </c>
      <c r="F44" t="s">
        <v>111</v>
      </c>
      <c r="G44" t="str">
        <f t="shared" si="0"/>
        <v>Taittinger 'Comtes de Champagne' Blanc de Blancs Brut2013</v>
      </c>
      <c r="H44" t="str">
        <f t="shared" si="1"/>
        <v>Taittinger 'Comtes de Champagne' Blanc de Blancs Brut2013</v>
      </c>
      <c r="I44">
        <f t="shared" si="2"/>
        <v>1</v>
      </c>
    </row>
    <row r="45" spans="1:9">
      <c r="A45" s="5" t="s">
        <v>1546</v>
      </c>
      <c r="B45" s="6" t="s">
        <v>1919</v>
      </c>
      <c r="C45" s="5" t="s">
        <v>114</v>
      </c>
      <c r="D45" t="s">
        <v>1933</v>
      </c>
      <c r="E45" t="s">
        <v>1919</v>
      </c>
      <c r="F45" t="s">
        <v>114</v>
      </c>
      <c r="G45" t="str">
        <f t="shared" si="0"/>
        <v>Varnier Fanniere Vintage Brut Grand Cru 2014</v>
      </c>
      <c r="H45" t="str">
        <f t="shared" si="1"/>
        <v>Varnier Fanniere Vintage Brut Grand Cru 2014</v>
      </c>
      <c r="I45">
        <f t="shared" si="2"/>
        <v>1</v>
      </c>
    </row>
    <row r="46" spans="1:9">
      <c r="A46" s="5" t="s">
        <v>1548</v>
      </c>
      <c r="B46" s="6" t="s">
        <v>1927</v>
      </c>
      <c r="C46" s="5" t="s">
        <v>129</v>
      </c>
      <c r="D46" t="s">
        <v>1934</v>
      </c>
      <c r="E46" t="s">
        <v>1927</v>
      </c>
      <c r="F46" t="s">
        <v>129</v>
      </c>
      <c r="G46" t="str">
        <f t="shared" si="0"/>
        <v>Andre Clouet Brut Millesime2016</v>
      </c>
      <c r="H46" t="str">
        <f t="shared" si="1"/>
        <v>Andre Clouet Brut Millesime2016</v>
      </c>
      <c r="I46">
        <f t="shared" si="2"/>
        <v>1</v>
      </c>
    </row>
    <row r="47" spans="1:9">
      <c r="A47" s="5" t="s">
        <v>1550</v>
      </c>
      <c r="B47" s="6" t="s">
        <v>2437</v>
      </c>
      <c r="C47" s="5" t="s">
        <v>144</v>
      </c>
      <c r="D47" t="s">
        <v>1935</v>
      </c>
      <c r="E47" t="s">
        <v>1936</v>
      </c>
      <c r="F47" t="s">
        <v>144</v>
      </c>
      <c r="G47" t="str">
        <f t="shared" si="0"/>
        <v>Andre Clouet Silver Blanc de Noirs Brut Nature Grand Cru NV</v>
      </c>
      <c r="H47" t="str">
        <f t="shared" si="1"/>
        <v>Andre Clouet Silver Blanc de Noirs Brut Nature Grand Cru NV</v>
      </c>
      <c r="I47">
        <f t="shared" si="2"/>
        <v>1</v>
      </c>
    </row>
    <row r="48" spans="1:9">
      <c r="A48" s="5" t="s">
        <v>1551</v>
      </c>
      <c r="B48" s="6" t="s">
        <v>1930</v>
      </c>
      <c r="C48" s="5" t="s">
        <v>137</v>
      </c>
      <c r="D48" t="s">
        <v>1937</v>
      </c>
      <c r="E48" t="s">
        <v>1930</v>
      </c>
      <c r="F48" t="s">
        <v>137</v>
      </c>
      <c r="G48" t="str">
        <f t="shared" si="0"/>
        <v>Marie Courtin 'Concordance' Blanc de Noirs Extra Brut2017</v>
      </c>
      <c r="H48" t="str">
        <f t="shared" si="1"/>
        <v>Marie Courtin 'Concordance' Blanc de Noirs Extra Brut2017</v>
      </c>
      <c r="I48">
        <f t="shared" si="2"/>
        <v>1</v>
      </c>
    </row>
    <row r="49" spans="1:9">
      <c r="A49" s="5" t="s">
        <v>1552</v>
      </c>
      <c r="B49" s="6" t="s">
        <v>2438</v>
      </c>
      <c r="C49" s="5" t="s">
        <v>172</v>
      </c>
      <c r="D49" t="s">
        <v>1938</v>
      </c>
      <c r="E49" t="s">
        <v>1939</v>
      </c>
      <c r="F49" t="s">
        <v>172</v>
      </c>
      <c r="G49" t="str">
        <f t="shared" si="0"/>
        <v>Andre Clouet 'Le Clos' Bouzy Brut Grand Cru 2012</v>
      </c>
      <c r="H49" t="str">
        <f t="shared" si="1"/>
        <v>Andre Clouet 'Le Clos' Bouzy Brut Grand Cru 2012</v>
      </c>
      <c r="I49">
        <f t="shared" si="2"/>
        <v>1</v>
      </c>
    </row>
    <row r="50" spans="1:9">
      <c r="A50" s="5" t="s">
        <v>1554</v>
      </c>
      <c r="B50" s="6" t="s">
        <v>1923</v>
      </c>
      <c r="C50" s="5" t="s">
        <v>144</v>
      </c>
      <c r="D50" t="s">
        <v>1940</v>
      </c>
      <c r="E50" t="s">
        <v>1923</v>
      </c>
      <c r="F50" t="s">
        <v>144</v>
      </c>
      <c r="G50" t="str">
        <f t="shared" si="0"/>
        <v>Andre Clouet Grande Reserve BrutNV</v>
      </c>
      <c r="H50" t="str">
        <f t="shared" si="1"/>
        <v>Andre Clouet Grande Reserve BrutNV</v>
      </c>
      <c r="I50">
        <f t="shared" si="2"/>
        <v>1</v>
      </c>
    </row>
    <row r="51" spans="1:9">
      <c r="A51" s="5" t="s">
        <v>1556</v>
      </c>
      <c r="B51" s="6" t="s">
        <v>2439</v>
      </c>
      <c r="C51" s="5" t="s">
        <v>144</v>
      </c>
      <c r="D51" t="s">
        <v>1941</v>
      </c>
      <c r="E51" t="s">
        <v>1942</v>
      </c>
      <c r="F51" t="s">
        <v>144</v>
      </c>
      <c r="G51" t="str">
        <f t="shared" si="0"/>
        <v>Andre Clouet 'Spiritum 96' Rosé Grand CruNV</v>
      </c>
      <c r="H51" t="str">
        <f t="shared" si="1"/>
        <v>Andre Clouet 'Spiritum 96' Rosé Grand CruNV</v>
      </c>
      <c r="I51">
        <f t="shared" si="2"/>
        <v>1</v>
      </c>
    </row>
    <row r="52" spans="1:9">
      <c r="A52" s="5" t="s">
        <v>1558</v>
      </c>
      <c r="B52" s="6" t="s">
        <v>1944</v>
      </c>
      <c r="C52" s="5" t="s">
        <v>144</v>
      </c>
      <c r="D52" t="s">
        <v>1943</v>
      </c>
      <c r="E52" t="s">
        <v>1944</v>
      </c>
      <c r="F52" t="s">
        <v>144</v>
      </c>
      <c r="G52" t="str">
        <f t="shared" si="0"/>
        <v>Chavost 'Eurêka!' Brut NatureNV</v>
      </c>
      <c r="H52" t="str">
        <f t="shared" si="1"/>
        <v>Chavost 'Eurêka!' Brut NatureNV</v>
      </c>
      <c r="I52">
        <f t="shared" si="2"/>
        <v>1</v>
      </c>
    </row>
    <row r="53" spans="1:9">
      <c r="A53" s="5" t="s">
        <v>1560</v>
      </c>
      <c r="B53" s="6" t="s">
        <v>1932</v>
      </c>
      <c r="C53" s="5" t="s">
        <v>111</v>
      </c>
      <c r="D53" t="s">
        <v>1945</v>
      </c>
      <c r="E53" t="s">
        <v>1932</v>
      </c>
      <c r="F53" t="s">
        <v>111</v>
      </c>
      <c r="G53" t="str">
        <f t="shared" si="0"/>
        <v>Taittinger 'Comtes de Champagne' Blanc de Blancs Brut2013</v>
      </c>
      <c r="H53" t="str">
        <f t="shared" si="1"/>
        <v>Taittinger 'Comtes de Champagne' Blanc de Blancs Brut2013</v>
      </c>
      <c r="I53">
        <f t="shared" si="2"/>
        <v>1</v>
      </c>
    </row>
    <row r="54" spans="1:9">
      <c r="A54" s="5" t="s">
        <v>1563</v>
      </c>
      <c r="B54" s="6" t="s">
        <v>1947</v>
      </c>
      <c r="C54" s="5" t="s">
        <v>92</v>
      </c>
      <c r="D54" t="s">
        <v>1946</v>
      </c>
      <c r="E54" t="s">
        <v>1947</v>
      </c>
      <c r="F54" t="s">
        <v>92</v>
      </c>
      <c r="G54" t="str">
        <f t="shared" si="0"/>
        <v>Marie Courtin Blanc de Noirs Extra Brut2020</v>
      </c>
      <c r="H54" t="str">
        <f t="shared" si="1"/>
        <v>Marie Courtin Blanc de Noirs Extra Brut2020</v>
      </c>
      <c r="I54">
        <f t="shared" si="2"/>
        <v>1</v>
      </c>
    </row>
    <row r="55" spans="1:9">
      <c r="A55" s="5" t="s">
        <v>1565</v>
      </c>
      <c r="B55" s="6" t="s">
        <v>1901</v>
      </c>
      <c r="C55" s="5" t="s">
        <v>273</v>
      </c>
      <c r="D55" t="s">
        <v>1948</v>
      </c>
      <c r="E55" t="s">
        <v>1901</v>
      </c>
      <c r="F55" t="s">
        <v>273</v>
      </c>
      <c r="G55" t="str">
        <f t="shared" si="0"/>
        <v>Andre Clouet 'Dream Vintage' Brut2005</v>
      </c>
      <c r="H55" t="str">
        <f t="shared" si="1"/>
        <v>Andre Clouet 'Dream Vintage' Brut2005</v>
      </c>
      <c r="I55">
        <f t="shared" si="2"/>
        <v>1</v>
      </c>
    </row>
    <row r="56" spans="1:9">
      <c r="A56" s="5" t="s">
        <v>1567</v>
      </c>
      <c r="B56" s="6" t="s">
        <v>1950</v>
      </c>
      <c r="C56" s="5" t="s">
        <v>137</v>
      </c>
      <c r="D56" t="s">
        <v>1949</v>
      </c>
      <c r="E56" t="s">
        <v>1950</v>
      </c>
      <c r="F56" t="s">
        <v>137</v>
      </c>
      <c r="G56" t="str">
        <f t="shared" si="0"/>
        <v>Marie Courtin 'Efflorescence' Blanc de Noirs Extra Brut2017</v>
      </c>
      <c r="H56" t="str">
        <f t="shared" si="1"/>
        <v>Marie Courtin 'Efflorescence' Blanc de Noirs Extra Brut2017</v>
      </c>
      <c r="I56">
        <f t="shared" si="2"/>
        <v>1</v>
      </c>
    </row>
    <row r="57" spans="1:9">
      <c r="A57" s="5" t="s">
        <v>1568</v>
      </c>
      <c r="B57" s="6" t="s">
        <v>1952</v>
      </c>
      <c r="C57" s="5" t="s">
        <v>144</v>
      </c>
      <c r="D57" t="s">
        <v>1951</v>
      </c>
      <c r="E57" t="s">
        <v>1952</v>
      </c>
      <c r="F57" t="s">
        <v>144</v>
      </c>
      <c r="G57" t="str">
        <f t="shared" si="0"/>
        <v>Varnier Fanniere Brut Grand CruNV</v>
      </c>
      <c r="H57" t="str">
        <f t="shared" si="1"/>
        <v>Varnier Fanniere Brut Grand CruNV</v>
      </c>
      <c r="I57">
        <f t="shared" si="2"/>
        <v>1</v>
      </c>
    </row>
    <row r="58" spans="1:9">
      <c r="A58" s="5" t="s">
        <v>1570</v>
      </c>
      <c r="B58" s="6" t="s">
        <v>1954</v>
      </c>
      <c r="C58" s="5" t="s">
        <v>129</v>
      </c>
      <c r="D58" t="s">
        <v>1953</v>
      </c>
      <c r="E58" t="s">
        <v>1954</v>
      </c>
      <c r="F58" t="s">
        <v>129</v>
      </c>
      <c r="G58" t="str">
        <f t="shared" si="0"/>
        <v>Marie Courtin 'Presence' Blanc de Noirs Extra Brut2016</v>
      </c>
      <c r="H58" t="str">
        <f t="shared" si="1"/>
        <v>Marie Courtin 'Presence' Blanc de Noirs Extra Brut2016</v>
      </c>
      <c r="I58">
        <f t="shared" si="2"/>
        <v>1</v>
      </c>
    </row>
    <row r="59" spans="1:9">
      <c r="A59" s="5" t="s">
        <v>1572</v>
      </c>
      <c r="B59" s="6" t="s">
        <v>1897</v>
      </c>
      <c r="C59" s="5" t="s">
        <v>144</v>
      </c>
      <c r="D59" t="s">
        <v>1955</v>
      </c>
      <c r="E59" t="s">
        <v>1897</v>
      </c>
      <c r="F59" t="s">
        <v>144</v>
      </c>
      <c r="G59" t="str">
        <f t="shared" si="0"/>
        <v>Andre Clouet Grande Reserve Brut NV</v>
      </c>
      <c r="H59" t="str">
        <f t="shared" si="1"/>
        <v>Andre Clouet Grande Reserve Brut NV</v>
      </c>
      <c r="I59">
        <f t="shared" si="2"/>
        <v>1</v>
      </c>
    </row>
    <row r="60" spans="1:9">
      <c r="A60" s="5" t="s">
        <v>1575</v>
      </c>
      <c r="B60" s="6" t="s">
        <v>1957</v>
      </c>
      <c r="C60" s="5" t="s">
        <v>222</v>
      </c>
      <c r="D60" t="s">
        <v>1956</v>
      </c>
      <c r="E60" t="s">
        <v>1957</v>
      </c>
      <c r="F60" t="s">
        <v>222</v>
      </c>
      <c r="G60" t="str">
        <f t="shared" si="0"/>
        <v>Deutz 'Amour de Deutz' Blanc de Blancs Brut Millesime (Giftbox)2015</v>
      </c>
      <c r="H60" t="str">
        <f t="shared" si="1"/>
        <v>Deutz 'Amour de Deutz' Blanc de Blancs Brut Millesime (Giftbox)2015</v>
      </c>
      <c r="I60">
        <f t="shared" si="2"/>
        <v>1</v>
      </c>
    </row>
    <row r="61" spans="1:9">
      <c r="A61" s="5" t="s">
        <v>1577</v>
      </c>
      <c r="B61" s="6" t="s">
        <v>1954</v>
      </c>
      <c r="C61" s="5" t="s">
        <v>81</v>
      </c>
      <c r="D61" t="s">
        <v>1958</v>
      </c>
      <c r="E61" t="s">
        <v>1954</v>
      </c>
      <c r="F61" t="s">
        <v>81</v>
      </c>
      <c r="G61" t="str">
        <f t="shared" si="0"/>
        <v>Marie Courtin 'Presence' Blanc de Noirs Extra Brut2019</v>
      </c>
      <c r="H61" t="str">
        <f t="shared" si="1"/>
        <v>Marie Courtin 'Presence' Blanc de Noirs Extra Brut2019</v>
      </c>
      <c r="I61">
        <f t="shared" si="2"/>
        <v>1</v>
      </c>
    </row>
    <row r="62" spans="1:9">
      <c r="A62" s="5" t="s">
        <v>1579</v>
      </c>
      <c r="B62" s="6" t="s">
        <v>1960</v>
      </c>
      <c r="C62" s="5" t="s">
        <v>144</v>
      </c>
      <c r="D62" t="s">
        <v>1959</v>
      </c>
      <c r="E62" t="s">
        <v>1960</v>
      </c>
      <c r="F62" t="s">
        <v>144</v>
      </c>
      <c r="G62" t="str">
        <f t="shared" si="0"/>
        <v>Varnier Fanniere Brut Zero Grand CruNV</v>
      </c>
      <c r="H62" t="str">
        <f t="shared" si="1"/>
        <v>Varnier Fanniere Brut Zero Grand CruNV</v>
      </c>
      <c r="I62">
        <f t="shared" si="2"/>
        <v>1</v>
      </c>
    </row>
    <row r="63" spans="1:9">
      <c r="A63" s="5" t="s">
        <v>1581</v>
      </c>
      <c r="B63" s="6" t="s">
        <v>2440</v>
      </c>
      <c r="C63" s="5" t="s">
        <v>425</v>
      </c>
      <c r="D63" t="s">
        <v>1961</v>
      </c>
      <c r="E63" t="s">
        <v>1962</v>
      </c>
      <c r="F63" t="s">
        <v>425</v>
      </c>
      <c r="G63" t="str">
        <f t="shared" si="0"/>
        <v>Bollinger R.D. Extra Brut2002</v>
      </c>
      <c r="H63" t="str">
        <f t="shared" si="1"/>
        <v>Bollinger R.D. Extra Brut2002</v>
      </c>
      <c r="I63">
        <f t="shared" si="2"/>
        <v>1</v>
      </c>
    </row>
    <row r="64" spans="1:9">
      <c r="A64" s="5" t="s">
        <v>1583</v>
      </c>
      <c r="B64" s="6" t="s">
        <v>1930</v>
      </c>
      <c r="C64" s="5" t="s">
        <v>129</v>
      </c>
      <c r="D64" t="s">
        <v>1963</v>
      </c>
      <c r="E64" t="s">
        <v>1930</v>
      </c>
      <c r="F64" t="s">
        <v>129</v>
      </c>
      <c r="G64" t="str">
        <f t="shared" si="0"/>
        <v>Marie Courtin 'Concordance' Blanc de Noirs Extra Brut2016</v>
      </c>
      <c r="H64" t="str">
        <f t="shared" si="1"/>
        <v>Marie Courtin 'Concordance' Blanc de Noirs Extra Brut2016</v>
      </c>
      <c r="I64">
        <f t="shared" si="2"/>
        <v>1</v>
      </c>
    </row>
    <row r="65" spans="1:9">
      <c r="A65" s="5" t="s">
        <v>1585</v>
      </c>
      <c r="B65" s="6" t="s">
        <v>421</v>
      </c>
      <c r="C65" s="5" t="s">
        <v>125</v>
      </c>
      <c r="D65" t="s">
        <v>1964</v>
      </c>
      <c r="E65" t="s">
        <v>421</v>
      </c>
      <c r="F65" t="s">
        <v>125</v>
      </c>
      <c r="G65" t="str">
        <f t="shared" si="0"/>
        <v>Dom Pérignon Brut2008</v>
      </c>
      <c r="H65" t="str">
        <f t="shared" si="1"/>
        <v>Dom Pérignon Brut2008</v>
      </c>
      <c r="I65">
        <f t="shared" si="2"/>
        <v>1</v>
      </c>
    </row>
    <row r="66" spans="1:9">
      <c r="A66" s="5" t="s">
        <v>1598</v>
      </c>
      <c r="B66" s="6" t="s">
        <v>1923</v>
      </c>
      <c r="C66" s="5" t="s">
        <v>144</v>
      </c>
      <c r="D66" t="s">
        <v>1965</v>
      </c>
      <c r="E66" t="s">
        <v>1923</v>
      </c>
      <c r="F66" t="s">
        <v>144</v>
      </c>
      <c r="G66" t="str">
        <f t="shared" ref="G66:G129" si="3">B66&amp;C66</f>
        <v>Andre Clouet Grande Reserve BrutNV</v>
      </c>
      <c r="H66" t="str">
        <f t="shared" ref="H66:H129" si="4">E66&amp;F66</f>
        <v>Andre Clouet Grande Reserve BrutNV</v>
      </c>
      <c r="I66">
        <f t="shared" ref="I66:I129" si="5">IF(G66=H66,1,0)</f>
        <v>1</v>
      </c>
    </row>
    <row r="67" spans="1:9">
      <c r="A67" s="5" t="s">
        <v>1609</v>
      </c>
      <c r="B67" s="6" t="s">
        <v>1967</v>
      </c>
      <c r="C67" s="5" t="s">
        <v>125</v>
      </c>
      <c r="D67" t="s">
        <v>1966</v>
      </c>
      <c r="E67" t="s">
        <v>1967</v>
      </c>
      <c r="F67" t="s">
        <v>125</v>
      </c>
      <c r="G67" t="str">
        <f t="shared" si="3"/>
        <v>Krug Vintage Brut2008</v>
      </c>
      <c r="H67" t="str">
        <f t="shared" si="4"/>
        <v>Krug Vintage Brut2008</v>
      </c>
      <c r="I67">
        <f t="shared" si="5"/>
        <v>1</v>
      </c>
    </row>
    <row r="68" spans="1:9">
      <c r="A68" s="5" t="s">
        <v>1617</v>
      </c>
      <c r="B68" s="6" t="s">
        <v>1969</v>
      </c>
      <c r="C68" s="5" t="s">
        <v>289</v>
      </c>
      <c r="D68" t="s">
        <v>1968</v>
      </c>
      <c r="E68" t="s">
        <v>1969</v>
      </c>
      <c r="F68" t="s">
        <v>289</v>
      </c>
      <c r="G68" t="str">
        <f t="shared" si="3"/>
        <v>Goutorbe-Bouillot 'Retrospective 80-15' Extra Brut (Disgorged June 2023)2023</v>
      </c>
      <c r="H68" t="str">
        <f t="shared" si="4"/>
        <v>Goutorbe-Bouillot 'Retrospective 80-15' Extra Brut (Disgorged June 2023)2023</v>
      </c>
      <c r="I68">
        <f t="shared" si="5"/>
        <v>1</v>
      </c>
    </row>
    <row r="69" spans="1:9">
      <c r="A69" s="5" t="s">
        <v>1623</v>
      </c>
      <c r="B69" s="6" t="s">
        <v>1971</v>
      </c>
      <c r="C69" s="5" t="s">
        <v>695</v>
      </c>
      <c r="D69" t="s">
        <v>1970</v>
      </c>
      <c r="E69" t="s">
        <v>1971</v>
      </c>
      <c r="F69" t="s">
        <v>695</v>
      </c>
      <c r="G69" t="str">
        <f t="shared" si="3"/>
        <v>Pommery Royal Grand Cru Brut Millesime1990</v>
      </c>
      <c r="H69" t="str">
        <f t="shared" si="4"/>
        <v>Pommery Royal Grand Cru Brut Millesime1990</v>
      </c>
      <c r="I69">
        <f t="shared" si="5"/>
        <v>1</v>
      </c>
    </row>
    <row r="70" spans="1:9">
      <c r="A70" s="5" t="s">
        <v>1625</v>
      </c>
      <c r="B70" s="6" t="s">
        <v>1973</v>
      </c>
      <c r="C70" s="5" t="s">
        <v>144</v>
      </c>
      <c r="D70" t="s">
        <v>1972</v>
      </c>
      <c r="E70" t="s">
        <v>1973</v>
      </c>
      <c r="F70" t="s">
        <v>144</v>
      </c>
      <c r="G70" t="str">
        <f t="shared" si="3"/>
        <v>Varnier Fanniere 'Cuvee Saint Denis' Brut Grand Cru NV</v>
      </c>
      <c r="H70" t="str">
        <f t="shared" si="4"/>
        <v>Varnier Fanniere 'Cuvee Saint Denis' Brut Grand Cru NV</v>
      </c>
      <c r="I70">
        <f t="shared" si="5"/>
        <v>1</v>
      </c>
    </row>
    <row r="71" spans="1:9">
      <c r="A71" s="5" t="s">
        <v>1628</v>
      </c>
      <c r="B71" s="6" t="s">
        <v>2437</v>
      </c>
      <c r="C71" s="5" t="s">
        <v>144</v>
      </c>
      <c r="D71" t="s">
        <v>1974</v>
      </c>
      <c r="E71" t="s">
        <v>1936</v>
      </c>
      <c r="F71" t="s">
        <v>144</v>
      </c>
      <c r="G71" t="str">
        <f t="shared" si="3"/>
        <v>Andre Clouet Silver Blanc de Noirs Brut Nature Grand Cru NV</v>
      </c>
      <c r="H71" t="str">
        <f t="shared" si="4"/>
        <v>Andre Clouet Silver Blanc de Noirs Brut Nature Grand Cru NV</v>
      </c>
      <c r="I71">
        <f t="shared" si="5"/>
        <v>1</v>
      </c>
    </row>
    <row r="72" spans="1:9">
      <c r="A72" s="5" t="s">
        <v>1631</v>
      </c>
      <c r="B72" s="6" t="s">
        <v>1976</v>
      </c>
      <c r="C72" s="5" t="s">
        <v>111</v>
      </c>
      <c r="D72" t="s">
        <v>1975</v>
      </c>
      <c r="E72" t="s">
        <v>1976</v>
      </c>
      <c r="F72" t="s">
        <v>111</v>
      </c>
      <c r="G72" t="str">
        <f t="shared" si="3"/>
        <v>Moët &amp; Chandon Grand Vintage Brut2013</v>
      </c>
      <c r="H72" t="str">
        <f t="shared" si="4"/>
        <v>Moët &amp; Chandon Grand Vintage Brut2013</v>
      </c>
      <c r="I72">
        <f t="shared" si="5"/>
        <v>1</v>
      </c>
    </row>
    <row r="73" spans="1:9">
      <c r="A73" s="5" t="s">
        <v>1717</v>
      </c>
      <c r="B73" s="6" t="s">
        <v>1978</v>
      </c>
      <c r="C73" s="5" t="s">
        <v>144</v>
      </c>
      <c r="D73" t="s">
        <v>1977</v>
      </c>
      <c r="E73" t="s">
        <v>1978</v>
      </c>
      <c r="F73" t="s">
        <v>144</v>
      </c>
      <c r="G73" t="str">
        <f t="shared" si="3"/>
        <v>Fonseca 10 Year Old Tawny PortNV</v>
      </c>
      <c r="H73" t="str">
        <f t="shared" si="4"/>
        <v>Fonseca 10 Year Old Tawny PortNV</v>
      </c>
      <c r="I73">
        <f t="shared" si="5"/>
        <v>1</v>
      </c>
    </row>
    <row r="74" spans="1:9">
      <c r="A74" s="5" t="s">
        <v>1719</v>
      </c>
      <c r="B74" s="6" t="s">
        <v>1980</v>
      </c>
      <c r="C74" s="5" t="s">
        <v>144</v>
      </c>
      <c r="D74" t="s">
        <v>1979</v>
      </c>
      <c r="E74" t="s">
        <v>1980</v>
      </c>
      <c r="F74" t="s">
        <v>144</v>
      </c>
      <c r="G74" t="str">
        <f t="shared" si="3"/>
        <v>Fonseca 20 Year Old Tawny PortNV</v>
      </c>
      <c r="H74" t="str">
        <f t="shared" si="4"/>
        <v>Fonseca 20 Year Old Tawny PortNV</v>
      </c>
      <c r="I74">
        <f t="shared" si="5"/>
        <v>1</v>
      </c>
    </row>
    <row r="75" spans="1:9">
      <c r="A75" s="5" t="s">
        <v>1721</v>
      </c>
      <c r="B75" s="6" t="s">
        <v>1982</v>
      </c>
      <c r="C75" s="5" t="s">
        <v>129</v>
      </c>
      <c r="D75" t="s">
        <v>1981</v>
      </c>
      <c r="E75" t="s">
        <v>1982</v>
      </c>
      <c r="F75" t="s">
        <v>129</v>
      </c>
      <c r="G75" t="str">
        <f t="shared" si="3"/>
        <v>Fonseca Late Bottled Vintage Port2016</v>
      </c>
      <c r="H75" t="str">
        <f t="shared" si="4"/>
        <v>Fonseca Late Bottled Vintage Port2016</v>
      </c>
      <c r="I75">
        <f t="shared" si="5"/>
        <v>1</v>
      </c>
    </row>
    <row r="76" spans="1:9">
      <c r="A76" s="5" t="s">
        <v>1723</v>
      </c>
      <c r="B76" s="6" t="s">
        <v>1984</v>
      </c>
      <c r="C76" s="5" t="s">
        <v>137</v>
      </c>
      <c r="D76" t="s">
        <v>1983</v>
      </c>
      <c r="E76" t="s">
        <v>1984</v>
      </c>
      <c r="F76" t="s">
        <v>137</v>
      </c>
      <c r="G76" t="str">
        <f t="shared" si="3"/>
        <v>W &amp; J Graham's 'The Stone Terraces' Vintage Port2017</v>
      </c>
      <c r="H76" t="str">
        <f t="shared" si="4"/>
        <v>W &amp; J Graham's 'The Stone Terraces' Vintage Port2017</v>
      </c>
      <c r="I76">
        <f t="shared" si="5"/>
        <v>1</v>
      </c>
    </row>
    <row r="77" spans="1:9">
      <c r="A77" s="5" t="s">
        <v>1725</v>
      </c>
      <c r="B77" s="6" t="s">
        <v>1986</v>
      </c>
      <c r="C77" s="5" t="s">
        <v>1987</v>
      </c>
      <c r="D77" t="s">
        <v>1985</v>
      </c>
      <c r="E77" t="s">
        <v>1986</v>
      </c>
      <c r="F77" t="s">
        <v>1987</v>
      </c>
      <c r="G77" t="str">
        <f t="shared" si="3"/>
        <v>Niepoort Vintage Port1931</v>
      </c>
      <c r="H77" t="str">
        <f t="shared" si="4"/>
        <v>Niepoort Vintage Port1931</v>
      </c>
      <c r="I77">
        <f t="shared" si="5"/>
        <v>1</v>
      </c>
    </row>
    <row r="78" spans="1:9">
      <c r="A78" s="5" t="s">
        <v>1727</v>
      </c>
      <c r="B78" s="6" t="s">
        <v>1989</v>
      </c>
      <c r="C78" s="5" t="s">
        <v>30</v>
      </c>
      <c r="D78" t="s">
        <v>1988</v>
      </c>
      <c r="E78" t="s">
        <v>1989</v>
      </c>
      <c r="F78" t="s">
        <v>30</v>
      </c>
      <c r="G78" t="str">
        <f t="shared" si="3"/>
        <v>Dominio de Pingus 'PSI' Ribera del Duero2022</v>
      </c>
      <c r="H78" t="str">
        <f t="shared" si="4"/>
        <v>Dominio de Pingus 'PSI' Ribera del Duero2022</v>
      </c>
      <c r="I78">
        <f t="shared" si="5"/>
        <v>1</v>
      </c>
    </row>
    <row r="79" spans="1:9">
      <c r="A79" s="5" t="s">
        <v>1729</v>
      </c>
      <c r="B79" s="6" t="s">
        <v>1991</v>
      </c>
      <c r="C79" s="5" t="s">
        <v>30</v>
      </c>
      <c r="D79" t="s">
        <v>1990</v>
      </c>
      <c r="E79" t="s">
        <v>1991</v>
      </c>
      <c r="F79" t="s">
        <v>30</v>
      </c>
      <c r="G79" t="str">
        <f t="shared" si="3"/>
        <v>AJ Vaona Bourgogne Pinot Noir 2022</v>
      </c>
      <c r="H79" t="str">
        <f t="shared" si="4"/>
        <v>AJ Vaona Bourgogne Pinot Noir 2022</v>
      </c>
      <c r="I79">
        <f t="shared" si="5"/>
        <v>1</v>
      </c>
    </row>
    <row r="80" spans="1:9">
      <c r="A80" s="5" t="s">
        <v>1731</v>
      </c>
      <c r="B80" s="6" t="s">
        <v>1993</v>
      </c>
      <c r="C80" s="5" t="s">
        <v>92</v>
      </c>
      <c r="D80" t="s">
        <v>1992</v>
      </c>
      <c r="E80" t="s">
        <v>1993</v>
      </c>
      <c r="F80" t="s">
        <v>92</v>
      </c>
      <c r="G80" t="str">
        <f t="shared" si="3"/>
        <v>Château Lafont-Fourcat2020</v>
      </c>
      <c r="H80" t="str">
        <f t="shared" si="4"/>
        <v>Château Lafont-Fourcat2020</v>
      </c>
      <c r="I80">
        <f t="shared" si="5"/>
        <v>1</v>
      </c>
    </row>
    <row r="81" spans="1:9">
      <c r="A81" s="5" t="s">
        <v>1733</v>
      </c>
      <c r="B81" s="6" t="s">
        <v>1995</v>
      </c>
      <c r="C81" s="5" t="s">
        <v>56</v>
      </c>
      <c r="D81" t="s">
        <v>1994</v>
      </c>
      <c r="E81" t="s">
        <v>1995</v>
      </c>
      <c r="F81" t="s">
        <v>56</v>
      </c>
      <c r="G81" t="str">
        <f t="shared" si="3"/>
        <v>Agricola Gianpiero Marrone Barbaresco DOCG2021</v>
      </c>
      <c r="H81" t="str">
        <f t="shared" si="4"/>
        <v>Agricola Gianpiero Marrone Barbaresco DOCG2021</v>
      </c>
      <c r="I81">
        <f t="shared" si="5"/>
        <v>1</v>
      </c>
    </row>
    <row r="82" spans="1:9">
      <c r="A82" s="5" t="s">
        <v>1735</v>
      </c>
      <c r="B82" s="6" t="s">
        <v>1997</v>
      </c>
      <c r="C82" s="5" t="s">
        <v>222</v>
      </c>
      <c r="D82" t="s">
        <v>1996</v>
      </c>
      <c r="E82" t="s">
        <v>1997</v>
      </c>
      <c r="F82" t="s">
        <v>222</v>
      </c>
      <c r="G82" t="str">
        <f t="shared" si="3"/>
        <v>Château Lorieu2015</v>
      </c>
      <c r="H82" t="str">
        <f t="shared" si="4"/>
        <v>Château Lorieu2015</v>
      </c>
      <c r="I82">
        <f t="shared" si="5"/>
        <v>1</v>
      </c>
    </row>
    <row r="83" spans="1:9">
      <c r="A83" s="5" t="s">
        <v>1737</v>
      </c>
      <c r="B83" s="6" t="s">
        <v>2441</v>
      </c>
      <c r="C83" s="5" t="s">
        <v>289</v>
      </c>
      <c r="D83" t="s">
        <v>1998</v>
      </c>
      <c r="E83" t="s">
        <v>1999</v>
      </c>
      <c r="F83" t="s">
        <v>289</v>
      </c>
      <c r="G83" t="str">
        <f t="shared" si="3"/>
        <v>Bruno Giacosa Nebbiolo d'Alba2023</v>
      </c>
      <c r="H83" t="str">
        <f t="shared" si="4"/>
        <v>Bruno Giacosa Nebbiolo d'Alba2023</v>
      </c>
      <c r="I83">
        <f t="shared" si="5"/>
        <v>1</v>
      </c>
    </row>
    <row r="84" spans="1:9">
      <c r="A84" s="5" t="s">
        <v>1739</v>
      </c>
      <c r="B84" s="6" t="s">
        <v>2442</v>
      </c>
      <c r="C84" s="5" t="s">
        <v>1537</v>
      </c>
      <c r="D84" t="s">
        <v>2000</v>
      </c>
      <c r="E84" t="s">
        <v>2001</v>
      </c>
      <c r="F84" t="s">
        <v>1537</v>
      </c>
      <c r="G84" t="str">
        <f t="shared" si="3"/>
        <v>Bruno Giacosa Dolcetto d'Alba2024</v>
      </c>
      <c r="H84" t="str">
        <f t="shared" si="4"/>
        <v>Bruno Giacosa Dolcetto d'Alba2024</v>
      </c>
      <c r="I84">
        <f t="shared" si="5"/>
        <v>1</v>
      </c>
    </row>
    <row r="85" spans="1:9">
      <c r="A85" s="5" t="s">
        <v>1741</v>
      </c>
      <c r="B85" s="6" t="s">
        <v>2003</v>
      </c>
      <c r="C85" s="5" t="s">
        <v>30</v>
      </c>
      <c r="D85" t="s">
        <v>2002</v>
      </c>
      <c r="E85" t="s">
        <v>2003</v>
      </c>
      <c r="F85" t="s">
        <v>30</v>
      </c>
      <c r="G85" t="str">
        <f t="shared" si="3"/>
        <v>Château Ducru-Beaucaillou 'Madame de Beaucaillou'2022</v>
      </c>
      <c r="H85" t="str">
        <f t="shared" si="4"/>
        <v>Château Ducru-Beaucaillou 'Madame de Beaucaillou'2022</v>
      </c>
      <c r="I85">
        <f t="shared" si="5"/>
        <v>1</v>
      </c>
    </row>
    <row r="86" spans="1:9">
      <c r="A86" s="5" t="s">
        <v>1743</v>
      </c>
      <c r="B86" s="6" t="s">
        <v>2005</v>
      </c>
      <c r="C86" s="5" t="s">
        <v>118</v>
      </c>
      <c r="D86" t="s">
        <v>2004</v>
      </c>
      <c r="E86" t="s">
        <v>2005</v>
      </c>
      <c r="F86" t="s">
        <v>118</v>
      </c>
      <c r="G86" t="str">
        <f t="shared" si="3"/>
        <v>Château Senejac2018</v>
      </c>
      <c r="H86" t="str">
        <f t="shared" si="4"/>
        <v>Château Senejac2018</v>
      </c>
      <c r="I86">
        <f t="shared" si="5"/>
        <v>1</v>
      </c>
    </row>
    <row r="87" spans="1:9">
      <c r="A87" s="5" t="s">
        <v>1745</v>
      </c>
      <c r="B87" s="6" t="s">
        <v>2007</v>
      </c>
      <c r="C87" s="5" t="s">
        <v>92</v>
      </c>
      <c r="D87" t="s">
        <v>2006</v>
      </c>
      <c r="E87" t="s">
        <v>2007</v>
      </c>
      <c r="F87" t="s">
        <v>92</v>
      </c>
      <c r="G87" t="str">
        <f t="shared" si="3"/>
        <v>Conti Costanti Brunello di Montalcino DOCG2020</v>
      </c>
      <c r="H87" t="str">
        <f t="shared" si="4"/>
        <v>Conti Costanti Brunello di Montalcino DOCG2020</v>
      </c>
      <c r="I87">
        <f t="shared" si="5"/>
        <v>1</v>
      </c>
    </row>
    <row r="88" spans="1:9">
      <c r="A88" s="5" t="s">
        <v>1747</v>
      </c>
      <c r="B88" s="6" t="s">
        <v>2443</v>
      </c>
      <c r="C88" s="5" t="s">
        <v>222</v>
      </c>
      <c r="D88" t="s">
        <v>2008</v>
      </c>
      <c r="E88" t="s">
        <v>2009</v>
      </c>
      <c r="F88" t="s">
        <v>222</v>
      </c>
      <c r="G88" t="str">
        <f t="shared" si="3"/>
        <v>Bouchard Pere &amp; Fils Cote de Nuits-Villages2015</v>
      </c>
      <c r="H88" t="str">
        <f t="shared" si="4"/>
        <v>Bouchard Pere &amp; Fils Cote de Nuits-Villages2015</v>
      </c>
      <c r="I88">
        <f t="shared" si="5"/>
        <v>1</v>
      </c>
    </row>
    <row r="89" spans="1:9">
      <c r="A89" s="5" t="s">
        <v>1749</v>
      </c>
      <c r="B89" s="6" t="s">
        <v>2444</v>
      </c>
      <c r="C89" s="5" t="s">
        <v>289</v>
      </c>
      <c r="D89" t="s">
        <v>2010</v>
      </c>
      <c r="E89" t="s">
        <v>2011</v>
      </c>
      <c r="F89" t="s">
        <v>289</v>
      </c>
      <c r="G89" t="str">
        <f t="shared" si="3"/>
        <v>Bruno Giacosa Barbera d'Alba2023</v>
      </c>
      <c r="H89" t="str">
        <f t="shared" si="4"/>
        <v>Bruno Giacosa Barbera d'Alba2023</v>
      </c>
      <c r="I89">
        <f t="shared" si="5"/>
        <v>1</v>
      </c>
    </row>
    <row r="90" spans="1:9">
      <c r="A90" s="5" t="s">
        <v>1751</v>
      </c>
      <c r="B90" s="6" t="s">
        <v>2013</v>
      </c>
      <c r="C90" s="5" t="s">
        <v>289</v>
      </c>
      <c r="D90" t="s">
        <v>2012</v>
      </c>
      <c r="E90" t="s">
        <v>2013</v>
      </c>
      <c r="F90" t="s">
        <v>289</v>
      </c>
      <c r="G90" t="str">
        <f t="shared" si="3"/>
        <v>Conti Costanti Rosso di Montalcino2023</v>
      </c>
      <c r="H90" t="str">
        <f t="shared" si="4"/>
        <v>Conti Costanti Rosso di Montalcino2023</v>
      </c>
      <c r="I90">
        <f t="shared" si="5"/>
        <v>1</v>
      </c>
    </row>
    <row r="91" spans="1:9">
      <c r="A91" s="5" t="s">
        <v>1753</v>
      </c>
      <c r="B91" s="6" t="s">
        <v>2015</v>
      </c>
      <c r="C91" s="5" t="s">
        <v>56</v>
      </c>
      <c r="D91" t="s">
        <v>2014</v>
      </c>
      <c r="E91" t="s">
        <v>2015</v>
      </c>
      <c r="F91" t="s">
        <v>56</v>
      </c>
      <c r="G91" t="str">
        <f t="shared" si="3"/>
        <v>Château Talbot 'Connetable Talbot'2021</v>
      </c>
      <c r="H91" t="str">
        <f t="shared" si="4"/>
        <v>Château Talbot 'Connetable Talbot'2021</v>
      </c>
      <c r="I91">
        <f t="shared" si="5"/>
        <v>1</v>
      </c>
    </row>
    <row r="92" spans="1:9">
      <c r="A92" s="5" t="s">
        <v>1755</v>
      </c>
      <c r="B92" s="6" t="s">
        <v>2017</v>
      </c>
      <c r="C92" s="5" t="s">
        <v>289</v>
      </c>
      <c r="D92" t="s">
        <v>2016</v>
      </c>
      <c r="E92" t="s">
        <v>2017</v>
      </c>
      <c r="F92" t="s">
        <v>289</v>
      </c>
      <c r="G92" t="str">
        <f t="shared" si="3"/>
        <v>Agricola Gianpiero Marrone Dolcetto d'Alba DOC2023</v>
      </c>
      <c r="H92" t="str">
        <f t="shared" si="4"/>
        <v>Agricola Gianpiero Marrone Dolcetto d'Alba DOC2023</v>
      </c>
      <c r="I92">
        <f t="shared" si="5"/>
        <v>1</v>
      </c>
    </row>
    <row r="93" spans="1:9">
      <c r="A93" s="5" t="s">
        <v>1757</v>
      </c>
      <c r="B93" s="6" t="s">
        <v>2019</v>
      </c>
      <c r="C93" s="5" t="s">
        <v>30</v>
      </c>
      <c r="D93" t="s">
        <v>2018</v>
      </c>
      <c r="E93" t="s">
        <v>2019</v>
      </c>
      <c r="F93" t="s">
        <v>30</v>
      </c>
      <c r="G93" t="str">
        <f t="shared" si="3"/>
        <v>Agricola Gianpiero Marrone Langhe Nebbiolo DOC2022</v>
      </c>
      <c r="H93" t="str">
        <f t="shared" si="4"/>
        <v>Agricola Gianpiero Marrone Langhe Nebbiolo DOC2022</v>
      </c>
      <c r="I93">
        <f t="shared" si="5"/>
        <v>1</v>
      </c>
    </row>
    <row r="94" spans="1:9">
      <c r="A94" s="5" t="s">
        <v>1759</v>
      </c>
      <c r="B94" s="6" t="s">
        <v>2021</v>
      </c>
      <c r="C94" s="5" t="s">
        <v>92</v>
      </c>
      <c r="D94" t="s">
        <v>2020</v>
      </c>
      <c r="E94" t="s">
        <v>2021</v>
      </c>
      <c r="F94" t="s">
        <v>92</v>
      </c>
      <c r="G94" t="str">
        <f t="shared" si="3"/>
        <v>Agricola Gianpiero Marrone 'Pichemej' Barolo DOCG2020</v>
      </c>
      <c r="H94" t="str">
        <f t="shared" si="4"/>
        <v>Agricola Gianpiero Marrone 'Pichemej' Barolo DOCG2020</v>
      </c>
      <c r="I94">
        <f t="shared" si="5"/>
        <v>1</v>
      </c>
    </row>
    <row r="95" spans="1:9">
      <c r="A95" s="5" t="s">
        <v>1761</v>
      </c>
      <c r="B95" s="6" t="s">
        <v>2023</v>
      </c>
      <c r="C95" s="5" t="s">
        <v>1537</v>
      </c>
      <c r="D95" t="s">
        <v>2022</v>
      </c>
      <c r="E95" t="s">
        <v>2023</v>
      </c>
      <c r="F95" t="s">
        <v>1537</v>
      </c>
      <c r="G95" t="str">
        <f t="shared" si="3"/>
        <v>Falletto di Bruno Giacosa Dolcetto d'Alba2024</v>
      </c>
      <c r="H95" t="str">
        <f t="shared" si="4"/>
        <v>Falletto di Bruno Giacosa Dolcetto d'Alba2024</v>
      </c>
      <c r="I95">
        <f t="shared" si="5"/>
        <v>1</v>
      </c>
    </row>
    <row r="96" spans="1:9">
      <c r="A96" s="5" t="s">
        <v>1763</v>
      </c>
      <c r="B96" s="6" t="s">
        <v>2025</v>
      </c>
      <c r="C96" s="5" t="s">
        <v>56</v>
      </c>
      <c r="D96" t="s">
        <v>2024</v>
      </c>
      <c r="E96" t="s">
        <v>2025</v>
      </c>
      <c r="F96" t="s">
        <v>56</v>
      </c>
      <c r="G96" t="str">
        <f t="shared" si="3"/>
        <v>Conti Costanti Calbello 'Ardingo' Toscana IGT2021</v>
      </c>
      <c r="H96" t="str">
        <f t="shared" si="4"/>
        <v>Conti Costanti Calbello 'Ardingo' Toscana IGT2021</v>
      </c>
      <c r="I96">
        <f t="shared" si="5"/>
        <v>1</v>
      </c>
    </row>
    <row r="97" spans="1:9">
      <c r="A97" s="5" t="s">
        <v>1765</v>
      </c>
      <c r="B97" s="6" t="s">
        <v>2027</v>
      </c>
      <c r="C97" s="5" t="s">
        <v>81</v>
      </c>
      <c r="D97" t="s">
        <v>2026</v>
      </c>
      <c r="E97" t="s">
        <v>2027</v>
      </c>
      <c r="F97" t="s">
        <v>81</v>
      </c>
      <c r="G97" t="str">
        <f t="shared" si="3"/>
        <v>Château Les Ormes de Pez2019</v>
      </c>
      <c r="H97" t="str">
        <f t="shared" si="4"/>
        <v>Château Les Ormes de Pez2019</v>
      </c>
      <c r="I97">
        <f t="shared" si="5"/>
        <v>1</v>
      </c>
    </row>
    <row r="98" spans="1:9">
      <c r="A98" s="5" t="s">
        <v>1767</v>
      </c>
      <c r="B98" s="6" t="s">
        <v>2029</v>
      </c>
      <c r="C98" s="5" t="s">
        <v>92</v>
      </c>
      <c r="D98" t="s">
        <v>2028</v>
      </c>
      <c r="E98" t="s">
        <v>2029</v>
      </c>
      <c r="F98" t="s">
        <v>92</v>
      </c>
      <c r="G98" t="str">
        <f t="shared" si="3"/>
        <v>Château Pichon-Longueville 'Les Griffons de Pichon Baron'2020</v>
      </c>
      <c r="H98" t="str">
        <f t="shared" si="4"/>
        <v>Château Pichon-Longueville 'Les Griffons de Pichon Baron'2020</v>
      </c>
      <c r="I98">
        <f t="shared" si="5"/>
        <v>1</v>
      </c>
    </row>
    <row r="99" spans="1:9">
      <c r="A99" s="5" t="s">
        <v>1769</v>
      </c>
      <c r="B99" s="6" t="s">
        <v>2031</v>
      </c>
      <c r="C99" s="5" t="s">
        <v>30</v>
      </c>
      <c r="D99" t="s">
        <v>2030</v>
      </c>
      <c r="E99" t="s">
        <v>2031</v>
      </c>
      <c r="F99" t="s">
        <v>30</v>
      </c>
      <c r="G99" t="str">
        <f t="shared" si="3"/>
        <v>Agricola Gianpiero Marrone 'Carlot' Barbera d'Alba DOC2022</v>
      </c>
      <c r="H99" t="str">
        <f t="shared" si="4"/>
        <v>Agricola Gianpiero Marrone 'Carlot' Barbera d'Alba DOC2022</v>
      </c>
      <c r="I99">
        <f t="shared" si="5"/>
        <v>1</v>
      </c>
    </row>
    <row r="100" spans="1:9">
      <c r="A100" s="5" t="s">
        <v>1770</v>
      </c>
      <c r="B100" s="6" t="s">
        <v>2033</v>
      </c>
      <c r="C100" s="5" t="s">
        <v>92</v>
      </c>
      <c r="D100" t="s">
        <v>2032</v>
      </c>
      <c r="E100" t="s">
        <v>2033</v>
      </c>
      <c r="F100" t="s">
        <v>92</v>
      </c>
      <c r="G100" t="str">
        <f t="shared" si="3"/>
        <v>Agricola Gianpiero Marrone Bussia DOCG2020</v>
      </c>
      <c r="H100" t="str">
        <f t="shared" si="4"/>
        <v>Agricola Gianpiero Marrone Bussia DOCG2020</v>
      </c>
      <c r="I100">
        <f t="shared" si="5"/>
        <v>1</v>
      </c>
    </row>
    <row r="101" spans="1:9">
      <c r="A101" s="5" t="s">
        <v>1771</v>
      </c>
      <c r="B101" s="6" t="s">
        <v>2035</v>
      </c>
      <c r="C101" s="5" t="s">
        <v>56</v>
      </c>
      <c r="D101" t="s">
        <v>2034</v>
      </c>
      <c r="E101" t="s">
        <v>2035</v>
      </c>
      <c r="F101" t="s">
        <v>56</v>
      </c>
      <c r="G101" t="str">
        <f t="shared" si="3"/>
        <v>Château Smith Haut Lafitte 'Le Petit Smith Haut Lafitte'2021</v>
      </c>
      <c r="H101" t="str">
        <f t="shared" si="4"/>
        <v>Château Smith Haut Lafitte 'Le Petit Smith Haut Lafitte'2021</v>
      </c>
      <c r="I101">
        <f t="shared" si="5"/>
        <v>1</v>
      </c>
    </row>
    <row r="102" spans="1:9">
      <c r="A102" s="5" t="s">
        <v>1773</v>
      </c>
      <c r="B102" s="6" t="s">
        <v>2037</v>
      </c>
      <c r="C102" s="5" t="s">
        <v>92</v>
      </c>
      <c r="D102" t="s">
        <v>2036</v>
      </c>
      <c r="E102" t="s">
        <v>2037</v>
      </c>
      <c r="F102" t="s">
        <v>92</v>
      </c>
      <c r="G102" t="str">
        <f t="shared" si="3"/>
        <v>Château La Fleur de Boüard2020</v>
      </c>
      <c r="H102" t="str">
        <f t="shared" si="4"/>
        <v>Château La Fleur de Boüard2020</v>
      </c>
      <c r="I102">
        <f t="shared" si="5"/>
        <v>1</v>
      </c>
    </row>
    <row r="103" spans="1:9">
      <c r="A103" s="5" t="s">
        <v>1775</v>
      </c>
      <c r="B103" s="6" t="s">
        <v>2039</v>
      </c>
      <c r="C103" s="5" t="s">
        <v>30</v>
      </c>
      <c r="D103" t="s">
        <v>2038</v>
      </c>
      <c r="E103" t="s">
        <v>2039</v>
      </c>
      <c r="F103" t="s">
        <v>30</v>
      </c>
      <c r="G103" t="str">
        <f t="shared" si="3"/>
        <v>AJ Vaona Vosne-Romanée 2022</v>
      </c>
      <c r="H103" t="str">
        <f t="shared" si="4"/>
        <v>AJ Vaona Vosne-Romanée 2022</v>
      </c>
      <c r="I103">
        <f t="shared" si="5"/>
        <v>1</v>
      </c>
    </row>
    <row r="104" spans="1:9">
      <c r="A104" s="5" t="s">
        <v>1777</v>
      </c>
      <c r="B104" s="6" t="s">
        <v>2041</v>
      </c>
      <c r="C104" s="5" t="s">
        <v>1102</v>
      </c>
      <c r="D104" t="s">
        <v>2040</v>
      </c>
      <c r="E104" t="s">
        <v>2041</v>
      </c>
      <c r="F104" t="s">
        <v>1102</v>
      </c>
      <c r="G104" t="str">
        <f t="shared" si="3"/>
        <v>Domaine Francois Gaunoux Pommard 'Les Tavannes'1995</v>
      </c>
      <c r="H104" t="str">
        <f t="shared" si="4"/>
        <v>Domaine Francois Gaunoux Pommard 'Les Tavannes'1995</v>
      </c>
      <c r="I104">
        <f t="shared" si="5"/>
        <v>1</v>
      </c>
    </row>
    <row r="105" spans="1:9">
      <c r="A105" s="5" t="s">
        <v>1779</v>
      </c>
      <c r="B105" s="6" t="s">
        <v>2043</v>
      </c>
      <c r="C105" s="5" t="s">
        <v>56</v>
      </c>
      <c r="D105" t="s">
        <v>2042</v>
      </c>
      <c r="E105" t="s">
        <v>2043</v>
      </c>
      <c r="F105" t="s">
        <v>56</v>
      </c>
      <c r="G105" t="str">
        <f t="shared" si="3"/>
        <v>Agricola Gianpiero Marrone 'Agrestis' Nebbiolo d'Alba Superiore DOC2021</v>
      </c>
      <c r="H105" t="str">
        <f t="shared" si="4"/>
        <v>Agricola Gianpiero Marrone 'Agrestis' Nebbiolo d'Alba Superiore DOC2021</v>
      </c>
      <c r="I105">
        <f t="shared" si="5"/>
        <v>1</v>
      </c>
    </row>
    <row r="106" spans="1:9">
      <c r="A106" s="5" t="s">
        <v>1781</v>
      </c>
      <c r="B106" s="6" t="s">
        <v>2045</v>
      </c>
      <c r="C106" s="5" t="s">
        <v>81</v>
      </c>
      <c r="D106" t="s">
        <v>2044</v>
      </c>
      <c r="E106" t="s">
        <v>2045</v>
      </c>
      <c r="F106" t="s">
        <v>81</v>
      </c>
      <c r="G106" t="str">
        <f t="shared" si="3"/>
        <v>Château Sainte Marie2019</v>
      </c>
      <c r="H106" t="str">
        <f t="shared" si="4"/>
        <v>Château Sainte Marie2019</v>
      </c>
      <c r="I106">
        <f t="shared" si="5"/>
        <v>1</v>
      </c>
    </row>
    <row r="107" spans="1:9">
      <c r="A107" s="5" t="s">
        <v>1783</v>
      </c>
      <c r="B107" s="6" t="s">
        <v>2047</v>
      </c>
      <c r="C107" s="5" t="s">
        <v>56</v>
      </c>
      <c r="D107" t="s">
        <v>2046</v>
      </c>
      <c r="E107" t="s">
        <v>2047</v>
      </c>
      <c r="F107" t="s">
        <v>56</v>
      </c>
      <c r="G107" t="str">
        <f t="shared" si="3"/>
        <v>Conti Costanti Vermiglio Rosso di Montalcino2021</v>
      </c>
      <c r="H107" t="str">
        <f t="shared" si="4"/>
        <v>Conti Costanti Vermiglio Rosso di Montalcino2021</v>
      </c>
      <c r="I107">
        <f t="shared" si="5"/>
        <v>1</v>
      </c>
    </row>
    <row r="108" spans="1:9">
      <c r="A108" s="5" t="s">
        <v>1785</v>
      </c>
      <c r="B108" s="6" t="s">
        <v>2049</v>
      </c>
      <c r="C108" s="5" t="s">
        <v>92</v>
      </c>
      <c r="D108" t="s">
        <v>2048</v>
      </c>
      <c r="E108" t="s">
        <v>2049</v>
      </c>
      <c r="F108" t="s">
        <v>92</v>
      </c>
      <c r="G108" t="str">
        <f t="shared" si="3"/>
        <v>Domaine Francois Gaunoux Volnay 'Clos des Chenes' Premier Cru2020</v>
      </c>
      <c r="H108" t="str">
        <f t="shared" si="4"/>
        <v>Domaine Francois Gaunoux Volnay 'Clos des Chenes' Premier Cru2020</v>
      </c>
      <c r="I108">
        <f t="shared" si="5"/>
        <v>1</v>
      </c>
    </row>
    <row r="109" spans="1:9">
      <c r="A109" s="5" t="s">
        <v>1787</v>
      </c>
      <c r="B109" s="6" t="s">
        <v>2051</v>
      </c>
      <c r="C109" s="5" t="s">
        <v>30</v>
      </c>
      <c r="D109" t="s">
        <v>2050</v>
      </c>
      <c r="E109" t="s">
        <v>2051</v>
      </c>
      <c r="F109" t="s">
        <v>30</v>
      </c>
      <c r="G109" t="str">
        <f t="shared" si="3"/>
        <v>AJ Vaona Savigny-Les-Beaune 2022</v>
      </c>
      <c r="H109" t="str">
        <f t="shared" si="4"/>
        <v>AJ Vaona Savigny-Les-Beaune 2022</v>
      </c>
      <c r="I109">
        <f t="shared" si="5"/>
        <v>1</v>
      </c>
    </row>
    <row r="110" spans="1:9">
      <c r="A110" s="5" t="s">
        <v>1789</v>
      </c>
      <c r="B110" s="6" t="s">
        <v>2053</v>
      </c>
      <c r="C110" s="5" t="s">
        <v>30</v>
      </c>
      <c r="D110" t="s">
        <v>2052</v>
      </c>
      <c r="E110" t="s">
        <v>2053</v>
      </c>
      <c r="F110" t="s">
        <v>30</v>
      </c>
      <c r="G110" t="str">
        <f t="shared" si="3"/>
        <v>Domaine Daniel-Etienne Defaix Bourgogne Rouge2022</v>
      </c>
      <c r="H110" t="str">
        <f t="shared" si="4"/>
        <v>Domaine Daniel-Etienne Defaix Bourgogne Rouge2022</v>
      </c>
      <c r="I110">
        <f t="shared" si="5"/>
        <v>1</v>
      </c>
    </row>
    <row r="111" spans="1:9">
      <c r="A111" s="5" t="s">
        <v>1791</v>
      </c>
      <c r="B111" s="6" t="s">
        <v>2055</v>
      </c>
      <c r="C111" s="5" t="s">
        <v>92</v>
      </c>
      <c r="D111" t="s">
        <v>2054</v>
      </c>
      <c r="E111" t="s">
        <v>2055</v>
      </c>
      <c r="F111" t="s">
        <v>92</v>
      </c>
      <c r="G111" t="str">
        <f t="shared" si="3"/>
        <v>Château La Gaffeliere 'Clos La Gaffeliere'2020</v>
      </c>
      <c r="H111" t="str">
        <f t="shared" si="4"/>
        <v>Château La Gaffeliere 'Clos La Gaffeliere'2020</v>
      </c>
      <c r="I111">
        <f t="shared" si="5"/>
        <v>1</v>
      </c>
    </row>
    <row r="112" spans="1:9">
      <c r="A112" s="5" t="s">
        <v>1792</v>
      </c>
      <c r="B112" s="6" t="s">
        <v>2057</v>
      </c>
      <c r="C112" s="5" t="s">
        <v>56</v>
      </c>
      <c r="D112" t="s">
        <v>2056</v>
      </c>
      <c r="E112" t="s">
        <v>2057</v>
      </c>
      <c r="F112" t="s">
        <v>56</v>
      </c>
      <c r="G112" t="str">
        <f t="shared" si="3"/>
        <v>Domaine Tortochot Morey-Saint-Denis 'Aux Charmes' Premier Cru2021</v>
      </c>
      <c r="H112" t="str">
        <f t="shared" si="4"/>
        <v>Domaine Tortochot Morey-Saint-Denis 'Aux Charmes' Premier Cru2021</v>
      </c>
      <c r="I112">
        <f t="shared" si="5"/>
        <v>1</v>
      </c>
    </row>
    <row r="113" spans="1:9">
      <c r="A113" s="5" t="s">
        <v>1794</v>
      </c>
      <c r="B113" s="6" t="s">
        <v>2059</v>
      </c>
      <c r="C113" s="5" t="s">
        <v>118</v>
      </c>
      <c r="D113" t="s">
        <v>2058</v>
      </c>
      <c r="E113" t="s">
        <v>2059</v>
      </c>
      <c r="F113" t="s">
        <v>118</v>
      </c>
      <c r="G113" t="str">
        <f t="shared" si="3"/>
        <v>Penfolds 'Bin 169' Cabernet Sauvignon2018</v>
      </c>
      <c r="H113" t="str">
        <f t="shared" si="4"/>
        <v>Penfolds 'Bin 169' Cabernet Sauvignon2018</v>
      </c>
      <c r="I113">
        <f t="shared" si="5"/>
        <v>1</v>
      </c>
    </row>
    <row r="114" spans="1:9">
      <c r="A114" s="5" t="s">
        <v>1796</v>
      </c>
      <c r="B114" s="6" t="s">
        <v>2061</v>
      </c>
      <c r="C114" s="5" t="s">
        <v>30</v>
      </c>
      <c r="D114" t="s">
        <v>2060</v>
      </c>
      <c r="E114" t="s">
        <v>2061</v>
      </c>
      <c r="F114" t="s">
        <v>30</v>
      </c>
      <c r="G114" t="str">
        <f t="shared" si="3"/>
        <v>Domaine Alain Hudelot-Noellat Nuits-Saint-Georges 'Les Murgers' Premier Cru2022</v>
      </c>
      <c r="H114" t="str">
        <f t="shared" si="4"/>
        <v>Domaine Alain Hudelot-Noellat Nuits-Saint-Georges 'Les Murgers' Premier Cru2022</v>
      </c>
      <c r="I114">
        <f t="shared" si="5"/>
        <v>1</v>
      </c>
    </row>
    <row r="115" spans="1:9">
      <c r="A115" s="5" t="s">
        <v>1798</v>
      </c>
      <c r="B115" s="6" t="s">
        <v>2063</v>
      </c>
      <c r="C115" s="5" t="s">
        <v>30</v>
      </c>
      <c r="D115" t="s">
        <v>2062</v>
      </c>
      <c r="E115" t="s">
        <v>2063</v>
      </c>
      <c r="F115" t="s">
        <v>30</v>
      </c>
      <c r="G115" t="str">
        <f t="shared" si="3"/>
        <v>Domaine Alain Hudelot-Noellat Vougeot 'Les Petits Vougeots' Premier Cru2022</v>
      </c>
      <c r="H115" t="str">
        <f t="shared" si="4"/>
        <v>Domaine Alain Hudelot-Noellat Vougeot 'Les Petits Vougeots' Premier Cru2022</v>
      </c>
      <c r="I115">
        <f t="shared" si="5"/>
        <v>1</v>
      </c>
    </row>
    <row r="116" spans="1:9">
      <c r="A116" s="5" t="s">
        <v>1800</v>
      </c>
      <c r="B116" s="6" t="s">
        <v>2065</v>
      </c>
      <c r="C116" s="5" t="s">
        <v>30</v>
      </c>
      <c r="D116" t="s">
        <v>2064</v>
      </c>
      <c r="E116" t="s">
        <v>2065</v>
      </c>
      <c r="F116" t="s">
        <v>30</v>
      </c>
      <c r="G116" t="str">
        <f t="shared" si="3"/>
        <v>Le Petit Ducru de Château Ducru-Beaucaillou2022</v>
      </c>
      <c r="H116" t="str">
        <f t="shared" si="4"/>
        <v>Le Petit Ducru de Château Ducru-Beaucaillou2022</v>
      </c>
      <c r="I116">
        <f t="shared" si="5"/>
        <v>1</v>
      </c>
    </row>
    <row r="117" spans="1:9">
      <c r="A117" s="5" t="s">
        <v>1802</v>
      </c>
      <c r="B117" s="6" t="s">
        <v>2067</v>
      </c>
      <c r="C117" s="5" t="s">
        <v>30</v>
      </c>
      <c r="D117" t="s">
        <v>2066</v>
      </c>
      <c r="E117" t="s">
        <v>2067</v>
      </c>
      <c r="F117" t="s">
        <v>30</v>
      </c>
      <c r="G117" t="str">
        <f t="shared" si="3"/>
        <v>Dominio de Pingus 'Flor de Pingus' Ribera del Duero2022</v>
      </c>
      <c r="H117" t="str">
        <f t="shared" si="4"/>
        <v>Dominio de Pingus 'Flor de Pingus' Ribera del Duero2022</v>
      </c>
      <c r="I117">
        <f t="shared" si="5"/>
        <v>1</v>
      </c>
    </row>
    <row r="118" spans="1:9">
      <c r="A118" s="5" t="s">
        <v>1804</v>
      </c>
      <c r="B118" s="6" t="s">
        <v>2069</v>
      </c>
      <c r="C118" s="5" t="s">
        <v>92</v>
      </c>
      <c r="D118" t="s">
        <v>2068</v>
      </c>
      <c r="E118" t="s">
        <v>2069</v>
      </c>
      <c r="F118" t="s">
        <v>92</v>
      </c>
      <c r="G118" t="str">
        <f t="shared" si="3"/>
        <v>Domaine de Chevalier 'L'Esprit de Chevalier'2020</v>
      </c>
      <c r="H118" t="str">
        <f t="shared" si="4"/>
        <v>Domaine de Chevalier 'L'Esprit de Chevalier'2020</v>
      </c>
      <c r="I118">
        <f t="shared" si="5"/>
        <v>1</v>
      </c>
    </row>
    <row r="119" spans="1:9">
      <c r="A119" s="5" t="s">
        <v>1806</v>
      </c>
      <c r="B119" s="7" t="s">
        <v>2071</v>
      </c>
      <c r="C119" s="5" t="s">
        <v>133</v>
      </c>
      <c r="D119" t="s">
        <v>2070</v>
      </c>
      <c r="E119" t="s">
        <v>2071</v>
      </c>
      <c r="F119" t="s">
        <v>133</v>
      </c>
      <c r="G119" t="str">
        <f t="shared" si="3"/>
        <v>Château Valandraud2007</v>
      </c>
      <c r="H119" t="str">
        <f t="shared" si="4"/>
        <v>Château Valandraud2007</v>
      </c>
      <c r="I119">
        <f t="shared" si="5"/>
        <v>1</v>
      </c>
    </row>
    <row r="120" spans="1:9">
      <c r="A120" s="5" t="s">
        <v>1808</v>
      </c>
      <c r="B120" s="6" t="s">
        <v>2047</v>
      </c>
      <c r="C120" s="5" t="s">
        <v>92</v>
      </c>
      <c r="D120" t="s">
        <v>2072</v>
      </c>
      <c r="E120" t="s">
        <v>2047</v>
      </c>
      <c r="F120" t="s">
        <v>92</v>
      </c>
      <c r="G120" t="str">
        <f t="shared" si="3"/>
        <v>Conti Costanti Vermiglio Rosso di Montalcino2020</v>
      </c>
      <c r="H120" t="str">
        <f t="shared" si="4"/>
        <v>Conti Costanti Vermiglio Rosso di Montalcino2020</v>
      </c>
      <c r="I120">
        <f t="shared" si="5"/>
        <v>1</v>
      </c>
    </row>
    <row r="121" spans="1:9">
      <c r="A121" s="5" t="s">
        <v>1810</v>
      </c>
      <c r="B121" s="6" t="s">
        <v>2074</v>
      </c>
      <c r="C121" s="5" t="s">
        <v>917</v>
      </c>
      <c r="D121" t="s">
        <v>2073</v>
      </c>
      <c r="E121" t="s">
        <v>2074</v>
      </c>
      <c r="F121" t="s">
        <v>917</v>
      </c>
      <c r="G121" t="str">
        <f t="shared" si="3"/>
        <v>Domaine Francois Gaunoux Beaune 'Clos des Mouches' Premier Cru1998</v>
      </c>
      <c r="H121" t="str">
        <f t="shared" si="4"/>
        <v>Domaine Francois Gaunoux Beaune 'Clos des Mouches' Premier Cru1998</v>
      </c>
      <c r="I121">
        <f t="shared" si="5"/>
        <v>1</v>
      </c>
    </row>
    <row r="122" spans="1:9">
      <c r="A122" s="5" t="s">
        <v>1812</v>
      </c>
      <c r="B122" s="6" t="s">
        <v>2076</v>
      </c>
      <c r="C122" s="5" t="s">
        <v>129</v>
      </c>
      <c r="D122" t="s">
        <v>2075</v>
      </c>
      <c r="E122" t="s">
        <v>2076</v>
      </c>
      <c r="F122" t="s">
        <v>129</v>
      </c>
      <c r="G122" t="str">
        <f t="shared" si="3"/>
        <v>Château Latour 'Les Forts de Latour' (OWC 3)2016</v>
      </c>
      <c r="H122" t="str">
        <f t="shared" si="4"/>
        <v>Château Latour 'Les Forts de Latour' (OWC 3)2016</v>
      </c>
      <c r="I122">
        <f t="shared" si="5"/>
        <v>1</v>
      </c>
    </row>
    <row r="123" spans="1:9">
      <c r="A123" s="5" t="s">
        <v>1814</v>
      </c>
      <c r="B123" s="6" t="s">
        <v>2078</v>
      </c>
      <c r="C123" s="5" t="s">
        <v>92</v>
      </c>
      <c r="D123" t="s">
        <v>2077</v>
      </c>
      <c r="E123" t="s">
        <v>2078</v>
      </c>
      <c r="F123" t="s">
        <v>92</v>
      </c>
      <c r="G123" t="str">
        <f t="shared" si="3"/>
        <v>Agricola Gianpiero Marrone Barolo DOCG2020</v>
      </c>
      <c r="H123" t="str">
        <f t="shared" si="4"/>
        <v>Agricola Gianpiero Marrone Barolo DOCG2020</v>
      </c>
      <c r="I123">
        <f t="shared" si="5"/>
        <v>1</v>
      </c>
    </row>
    <row r="124" spans="1:9">
      <c r="A124" s="5" t="s">
        <v>1816</v>
      </c>
      <c r="B124" s="6" t="s">
        <v>2080</v>
      </c>
      <c r="C124" s="5" t="s">
        <v>92</v>
      </c>
      <c r="D124" t="s">
        <v>2079</v>
      </c>
      <c r="E124" t="s">
        <v>2080</v>
      </c>
      <c r="F124" t="s">
        <v>92</v>
      </c>
      <c r="G124" t="str">
        <f t="shared" si="3"/>
        <v>Falletto di Bruno Giacosa Barolo DOCG2020</v>
      </c>
      <c r="H124" t="str">
        <f t="shared" si="4"/>
        <v>Falletto di Bruno Giacosa Barolo DOCG2020</v>
      </c>
      <c r="I124">
        <f t="shared" si="5"/>
        <v>1</v>
      </c>
    </row>
    <row r="125" spans="1:9">
      <c r="A125" s="5" t="s">
        <v>1818</v>
      </c>
      <c r="B125" s="6" t="s">
        <v>2029</v>
      </c>
      <c r="C125" s="5" t="s">
        <v>118</v>
      </c>
      <c r="D125" t="s">
        <v>2081</v>
      </c>
      <c r="E125" t="s">
        <v>2029</v>
      </c>
      <c r="F125" t="s">
        <v>118</v>
      </c>
      <c r="G125" t="str">
        <f t="shared" si="3"/>
        <v>Château Pichon-Longueville 'Les Griffons de Pichon Baron'2018</v>
      </c>
      <c r="H125" t="str">
        <f t="shared" si="4"/>
        <v>Château Pichon-Longueville 'Les Griffons de Pichon Baron'2018</v>
      </c>
      <c r="I125">
        <f t="shared" si="5"/>
        <v>1</v>
      </c>
    </row>
    <row r="126" spans="1:9">
      <c r="A126" s="5" t="s">
        <v>1820</v>
      </c>
      <c r="B126" s="6" t="s">
        <v>2083</v>
      </c>
      <c r="C126" s="5" t="s">
        <v>56</v>
      </c>
      <c r="D126" t="s">
        <v>2082</v>
      </c>
      <c r="E126" t="s">
        <v>2083</v>
      </c>
      <c r="F126" t="s">
        <v>56</v>
      </c>
      <c r="G126" t="str">
        <f t="shared" si="3"/>
        <v>Agricola Gianpiero Marrone 'La Pantalera' Barbera d'Alba Superiore DOC2021</v>
      </c>
      <c r="H126" t="str">
        <f t="shared" si="4"/>
        <v>Agricola Gianpiero Marrone 'La Pantalera' Barbera d'Alba Superiore DOC2021</v>
      </c>
      <c r="I126">
        <f t="shared" si="5"/>
        <v>1</v>
      </c>
    </row>
    <row r="127" spans="1:9">
      <c r="A127" s="5" t="s">
        <v>1822</v>
      </c>
      <c r="B127" s="6" t="s">
        <v>2085</v>
      </c>
      <c r="C127" s="5" t="s">
        <v>30</v>
      </c>
      <c r="D127" t="s">
        <v>2084</v>
      </c>
      <c r="E127" t="s">
        <v>2085</v>
      </c>
      <c r="F127" t="s">
        <v>30</v>
      </c>
      <c r="G127" t="str">
        <f t="shared" si="3"/>
        <v>AJ Vaona Pommard Premier Cru2022</v>
      </c>
      <c r="H127" t="str">
        <f t="shared" si="4"/>
        <v>AJ Vaona Pommard Premier Cru2022</v>
      </c>
      <c r="I127">
        <f t="shared" si="5"/>
        <v>1</v>
      </c>
    </row>
    <row r="128" spans="1:9">
      <c r="A128" s="5" t="s">
        <v>1824</v>
      </c>
      <c r="B128" s="6" t="s">
        <v>2087</v>
      </c>
      <c r="C128" s="5" t="s">
        <v>30</v>
      </c>
      <c r="D128" t="s">
        <v>2086</v>
      </c>
      <c r="E128" t="s">
        <v>2087</v>
      </c>
      <c r="F128" t="s">
        <v>30</v>
      </c>
      <c r="G128" t="str">
        <f t="shared" si="3"/>
        <v>Jean Foillard Fleurie Morgon 'Cote du Py'2022</v>
      </c>
      <c r="H128" t="str">
        <f t="shared" si="4"/>
        <v>Jean Foillard Fleurie Morgon 'Cote du Py'2022</v>
      </c>
      <c r="I128">
        <f t="shared" si="5"/>
        <v>1</v>
      </c>
    </row>
    <row r="129" spans="1:9">
      <c r="A129" s="5" t="s">
        <v>1826</v>
      </c>
      <c r="B129" s="6" t="s">
        <v>2089</v>
      </c>
      <c r="C129" s="5" t="s">
        <v>137</v>
      </c>
      <c r="D129" t="s">
        <v>2088</v>
      </c>
      <c r="E129" t="s">
        <v>2089</v>
      </c>
      <c r="F129" t="s">
        <v>137</v>
      </c>
      <c r="G129" t="str">
        <f t="shared" si="3"/>
        <v>Falletto di Bruno Giacosa 'Falletto Vigna Le Rocche' Barolo Riserva DOCG2017</v>
      </c>
      <c r="H129" t="str">
        <f t="shared" si="4"/>
        <v>Falletto di Bruno Giacosa 'Falletto Vigna Le Rocche' Barolo Riserva DOCG2017</v>
      </c>
      <c r="I129">
        <f t="shared" si="5"/>
        <v>1</v>
      </c>
    </row>
    <row r="130" spans="1:9">
      <c r="A130" s="5" t="s">
        <v>1828</v>
      </c>
      <c r="B130" s="7" t="s">
        <v>2091</v>
      </c>
      <c r="C130" s="5" t="s">
        <v>56</v>
      </c>
      <c r="D130" t="s">
        <v>2090</v>
      </c>
      <c r="E130" t="s">
        <v>2091</v>
      </c>
      <c r="F130" t="s">
        <v>56</v>
      </c>
      <c r="G130" t="str">
        <f t="shared" ref="G130:G193" si="6">B130&amp;C130</f>
        <v>Château Phelan Segur 2021</v>
      </c>
      <c r="H130" t="str">
        <f t="shared" ref="H130:H193" si="7">E130&amp;F130</f>
        <v>Château Phelan Segur 2021</v>
      </c>
      <c r="I130">
        <f t="shared" ref="I130:I193" si="8">IF(G130=H130,1,0)</f>
        <v>1</v>
      </c>
    </row>
    <row r="131" spans="1:9">
      <c r="A131" s="5" t="s">
        <v>1830</v>
      </c>
      <c r="B131" s="6" t="s">
        <v>2071</v>
      </c>
      <c r="C131" s="5" t="s">
        <v>81</v>
      </c>
      <c r="D131" t="s">
        <v>2092</v>
      </c>
      <c r="E131" t="s">
        <v>2071</v>
      </c>
      <c r="F131" t="s">
        <v>81</v>
      </c>
      <c r="G131" t="str">
        <f t="shared" si="6"/>
        <v>Château Valandraud2019</v>
      </c>
      <c r="H131" t="str">
        <f t="shared" si="7"/>
        <v>Château Valandraud2019</v>
      </c>
      <c r="I131">
        <f t="shared" si="8"/>
        <v>1</v>
      </c>
    </row>
    <row r="132" spans="1:9">
      <c r="A132" s="5" t="s">
        <v>1832</v>
      </c>
      <c r="B132" s="6" t="s">
        <v>2013</v>
      </c>
      <c r="C132" s="5" t="s">
        <v>30</v>
      </c>
      <c r="D132" t="s">
        <v>2093</v>
      </c>
      <c r="E132" t="s">
        <v>2013</v>
      </c>
      <c r="F132" t="s">
        <v>30</v>
      </c>
      <c r="G132" t="str">
        <f t="shared" si="6"/>
        <v>Conti Costanti Rosso di Montalcino2022</v>
      </c>
      <c r="H132" t="str">
        <f t="shared" si="7"/>
        <v>Conti Costanti Rosso di Montalcino2022</v>
      </c>
      <c r="I132">
        <f t="shared" si="8"/>
        <v>1</v>
      </c>
    </row>
    <row r="133" spans="1:9">
      <c r="A133" s="5" t="s">
        <v>1834</v>
      </c>
      <c r="B133" s="6" t="s">
        <v>2095</v>
      </c>
      <c r="C133" s="5" t="s">
        <v>706</v>
      </c>
      <c r="D133" t="s">
        <v>2094</v>
      </c>
      <c r="E133" t="s">
        <v>2095</v>
      </c>
      <c r="F133" t="s">
        <v>706</v>
      </c>
      <c r="G133" t="str">
        <f t="shared" si="6"/>
        <v>Thunevin-Calvet Maury Vin Doux Naturel1986</v>
      </c>
      <c r="H133" t="str">
        <f t="shared" si="7"/>
        <v>Thunevin-Calvet Maury Vin Doux Naturel1986</v>
      </c>
      <c r="I133">
        <f t="shared" si="8"/>
        <v>1</v>
      </c>
    </row>
    <row r="134" spans="1:9">
      <c r="A134" s="5" t="s">
        <v>1836</v>
      </c>
      <c r="B134" s="6" t="s">
        <v>2097</v>
      </c>
      <c r="C134" s="5" t="s">
        <v>118</v>
      </c>
      <c r="D134" t="s">
        <v>2096</v>
      </c>
      <c r="E134" t="s">
        <v>2097</v>
      </c>
      <c r="F134" t="s">
        <v>118</v>
      </c>
      <c r="G134" t="str">
        <f t="shared" si="6"/>
        <v>Fattoria Poggio di Sotto Rosso di Montalcino2018</v>
      </c>
      <c r="H134" t="str">
        <f t="shared" si="7"/>
        <v>Fattoria Poggio di Sotto Rosso di Montalcino2018</v>
      </c>
      <c r="I134">
        <f t="shared" si="8"/>
        <v>1</v>
      </c>
    </row>
    <row r="135" spans="1:9">
      <c r="A135" s="5" t="s">
        <v>1838</v>
      </c>
      <c r="B135" s="6" t="s">
        <v>2099</v>
      </c>
      <c r="C135" s="5" t="s">
        <v>92</v>
      </c>
      <c r="D135" t="s">
        <v>2098</v>
      </c>
      <c r="E135" t="s">
        <v>2099</v>
      </c>
      <c r="F135" t="s">
        <v>92</v>
      </c>
      <c r="G135" t="str">
        <f t="shared" si="6"/>
        <v>Diane by Jacques Lurton Cabernet Sauvignon2020</v>
      </c>
      <c r="H135" t="str">
        <f t="shared" si="7"/>
        <v>Diane by Jacques Lurton Cabernet Sauvignon2020</v>
      </c>
      <c r="I135">
        <f t="shared" si="8"/>
        <v>1</v>
      </c>
    </row>
    <row r="136" spans="1:9">
      <c r="A136" s="5" t="s">
        <v>1840</v>
      </c>
      <c r="B136" s="6" t="s">
        <v>2101</v>
      </c>
      <c r="C136" s="5" t="s">
        <v>30</v>
      </c>
      <c r="D136" t="s">
        <v>2100</v>
      </c>
      <c r="E136" t="s">
        <v>2101</v>
      </c>
      <c r="F136" t="s">
        <v>30</v>
      </c>
      <c r="G136" t="str">
        <f t="shared" si="6"/>
        <v>Domaine Alain Hudelot-Noellat Vosne-Romanée2022</v>
      </c>
      <c r="H136" t="str">
        <f t="shared" si="7"/>
        <v>Domaine Alain Hudelot-Noellat Vosne-Romanée2022</v>
      </c>
      <c r="I136">
        <f t="shared" si="8"/>
        <v>1</v>
      </c>
    </row>
    <row r="137" spans="1:9">
      <c r="A137" s="5" t="s">
        <v>1842</v>
      </c>
      <c r="B137" s="7" t="s">
        <v>2103</v>
      </c>
      <c r="C137" s="5" t="s">
        <v>81</v>
      </c>
      <c r="D137" t="s">
        <v>2102</v>
      </c>
      <c r="E137" t="s">
        <v>2103</v>
      </c>
      <c r="F137" t="s">
        <v>81</v>
      </c>
      <c r="G137" t="str">
        <f t="shared" si="6"/>
        <v>Le Merle de Château Péby Faugères2019</v>
      </c>
      <c r="H137" t="str">
        <f t="shared" si="7"/>
        <v>Le Merle de Château Péby Faugères2019</v>
      </c>
      <c r="I137">
        <f t="shared" si="8"/>
        <v>1</v>
      </c>
    </row>
    <row r="138" spans="1:9">
      <c r="A138" s="5" t="s">
        <v>1844</v>
      </c>
      <c r="B138" s="6" t="s">
        <v>2105</v>
      </c>
      <c r="C138" s="5" t="s">
        <v>81</v>
      </c>
      <c r="D138" t="s">
        <v>2104</v>
      </c>
      <c r="E138" t="s">
        <v>2105</v>
      </c>
      <c r="F138" t="s">
        <v>81</v>
      </c>
      <c r="G138" t="str">
        <f t="shared" si="6"/>
        <v>Château Cantemerle2019</v>
      </c>
      <c r="H138" t="str">
        <f t="shared" si="7"/>
        <v>Château Cantemerle2019</v>
      </c>
      <c r="I138">
        <f t="shared" si="8"/>
        <v>1</v>
      </c>
    </row>
    <row r="139" spans="1:9">
      <c r="A139" s="5" t="s">
        <v>1846</v>
      </c>
      <c r="B139" s="6" t="s">
        <v>2107</v>
      </c>
      <c r="C139" s="5" t="s">
        <v>81</v>
      </c>
      <c r="D139" t="s">
        <v>2106</v>
      </c>
      <c r="E139" t="s">
        <v>2107</v>
      </c>
      <c r="F139" t="s">
        <v>81</v>
      </c>
      <c r="G139" t="str">
        <f t="shared" si="6"/>
        <v>Conti Costanti Brunello di Montalcino Riserva DOCG2019</v>
      </c>
      <c r="H139" t="str">
        <f t="shared" si="7"/>
        <v>Conti Costanti Brunello di Montalcino Riserva DOCG2019</v>
      </c>
      <c r="I139">
        <f t="shared" si="8"/>
        <v>1</v>
      </c>
    </row>
    <row r="140" spans="1:9">
      <c r="A140" s="5" t="s">
        <v>1848</v>
      </c>
      <c r="B140" s="6" t="s">
        <v>2109</v>
      </c>
      <c r="C140" s="5" t="s">
        <v>710</v>
      </c>
      <c r="D140" t="s">
        <v>2108</v>
      </c>
      <c r="E140" t="s">
        <v>2109</v>
      </c>
      <c r="F140" t="s">
        <v>710</v>
      </c>
      <c r="G140" t="str">
        <f t="shared" si="6"/>
        <v>Domaine Francois Gaunoux Pommard 'Les Epenots' Premier Cru1999</v>
      </c>
      <c r="H140" t="str">
        <f t="shared" si="7"/>
        <v>Domaine Francois Gaunoux Pommard 'Les Epenots' Premier Cru1999</v>
      </c>
      <c r="I140">
        <f t="shared" si="8"/>
        <v>1</v>
      </c>
    </row>
    <row r="141" spans="1:9">
      <c r="A141" s="5" t="s">
        <v>1850</v>
      </c>
      <c r="B141" s="6" t="s">
        <v>2111</v>
      </c>
      <c r="C141" s="5" t="s">
        <v>92</v>
      </c>
      <c r="D141" t="s">
        <v>2110</v>
      </c>
      <c r="E141" t="s">
        <v>2111</v>
      </c>
      <c r="F141" t="s">
        <v>92</v>
      </c>
      <c r="G141" t="str">
        <f t="shared" si="6"/>
        <v>Domaine Francois Gaunoux Pommard 'Les Grand Epenots' Premier Cru2020</v>
      </c>
      <c r="H141" t="str">
        <f t="shared" si="7"/>
        <v>Domaine Francois Gaunoux Pommard 'Les Grand Epenots' Premier Cru2020</v>
      </c>
      <c r="I141">
        <f t="shared" si="8"/>
        <v>1</v>
      </c>
    </row>
    <row r="142" spans="1:9">
      <c r="A142" s="5" t="s">
        <v>1852</v>
      </c>
      <c r="B142" s="6" t="s">
        <v>2113</v>
      </c>
      <c r="C142" s="5" t="s">
        <v>30</v>
      </c>
      <c r="D142" t="s">
        <v>2112</v>
      </c>
      <c r="E142" t="s">
        <v>2113</v>
      </c>
      <c r="F142" t="s">
        <v>30</v>
      </c>
      <c r="G142" t="str">
        <f t="shared" si="6"/>
        <v>Jean Foillard Fleurie2022</v>
      </c>
      <c r="H142" t="str">
        <f t="shared" si="7"/>
        <v>Jean Foillard Fleurie2022</v>
      </c>
      <c r="I142">
        <f t="shared" si="8"/>
        <v>1</v>
      </c>
    </row>
    <row r="143" spans="1:9">
      <c r="A143" s="5" t="s">
        <v>1854</v>
      </c>
      <c r="B143" s="6" t="s">
        <v>2115</v>
      </c>
      <c r="C143" s="5" t="s">
        <v>30</v>
      </c>
      <c r="D143" t="s">
        <v>2114</v>
      </c>
      <c r="E143" t="s">
        <v>2115</v>
      </c>
      <c r="F143" t="s">
        <v>30</v>
      </c>
      <c r="G143" t="str">
        <f t="shared" si="6"/>
        <v>Xavier Vignon Châteauneuf-du-Pape2022</v>
      </c>
      <c r="H143" t="str">
        <f t="shared" si="7"/>
        <v>Xavier Vignon Châteauneuf-du-Pape2022</v>
      </c>
      <c r="I143">
        <f t="shared" si="8"/>
        <v>1</v>
      </c>
    </row>
    <row r="144" spans="1:9">
      <c r="A144" s="5" t="s">
        <v>1856</v>
      </c>
      <c r="B144" s="6" t="s">
        <v>2105</v>
      </c>
      <c r="C144" s="5" t="s">
        <v>125</v>
      </c>
      <c r="D144" t="s">
        <v>2116</v>
      </c>
      <c r="E144" t="s">
        <v>2105</v>
      </c>
      <c r="F144" t="s">
        <v>125</v>
      </c>
      <c r="G144" t="str">
        <f t="shared" si="6"/>
        <v>Château Cantemerle2008</v>
      </c>
      <c r="H144" t="str">
        <f t="shared" si="7"/>
        <v>Château Cantemerle2008</v>
      </c>
      <c r="I144">
        <f t="shared" si="8"/>
        <v>1</v>
      </c>
    </row>
    <row r="145" spans="1:9">
      <c r="A145" s="5" t="s">
        <v>1858</v>
      </c>
      <c r="B145" s="6" t="s">
        <v>2118</v>
      </c>
      <c r="C145" s="5" t="s">
        <v>30</v>
      </c>
      <c r="D145" t="s">
        <v>2117</v>
      </c>
      <c r="E145" t="s">
        <v>2118</v>
      </c>
      <c r="F145" t="s">
        <v>30</v>
      </c>
      <c r="G145" t="str">
        <f t="shared" si="6"/>
        <v>Domaine de la Pousse d'Or Chambolle-Musigny 'Les Groseilles' Premier Cru2022</v>
      </c>
      <c r="H145" t="str">
        <f t="shared" si="7"/>
        <v>Domaine de la Pousse d'Or Chambolle-Musigny 'Les Groseilles' Premier Cru2022</v>
      </c>
      <c r="I145">
        <f t="shared" si="8"/>
        <v>1</v>
      </c>
    </row>
    <row r="146" spans="1:9">
      <c r="A146" s="5" t="s">
        <v>1860</v>
      </c>
      <c r="B146" s="6" t="s">
        <v>2120</v>
      </c>
      <c r="C146" s="5" t="s">
        <v>56</v>
      </c>
      <c r="D146" t="s">
        <v>2119</v>
      </c>
      <c r="E146" t="s">
        <v>2120</v>
      </c>
      <c r="F146" t="s">
        <v>56</v>
      </c>
      <c r="G146" t="str">
        <f t="shared" si="6"/>
        <v>Domaine de la Pousse d'Or 'Clos des 60 Ouvrees' Amphore Premier Cru2021</v>
      </c>
      <c r="H146" t="str">
        <f t="shared" si="7"/>
        <v>Domaine de la Pousse d'Or 'Clos des 60 Ouvrees' Amphore Premier Cru2021</v>
      </c>
      <c r="I146">
        <f t="shared" si="8"/>
        <v>1</v>
      </c>
    </row>
    <row r="147" spans="1:9">
      <c r="A147" s="5" t="s">
        <v>1862</v>
      </c>
      <c r="B147" s="6" t="s">
        <v>2122</v>
      </c>
      <c r="C147" s="5" t="s">
        <v>81</v>
      </c>
      <c r="D147" t="s">
        <v>2121</v>
      </c>
      <c r="E147" t="s">
        <v>2122</v>
      </c>
      <c r="F147" t="s">
        <v>81</v>
      </c>
      <c r="G147" t="str">
        <f t="shared" si="6"/>
        <v>Domaine Nicolas Rossignol Volnay 'Les Santenots' Premier Cru2019</v>
      </c>
      <c r="H147" t="str">
        <f t="shared" si="7"/>
        <v>Domaine Nicolas Rossignol Volnay 'Les Santenots' Premier Cru2019</v>
      </c>
      <c r="I147">
        <f t="shared" si="8"/>
        <v>1</v>
      </c>
    </row>
    <row r="148" spans="1:9">
      <c r="A148" s="5" t="s">
        <v>1864</v>
      </c>
      <c r="B148" s="6" t="s">
        <v>2445</v>
      </c>
      <c r="C148" s="5" t="s">
        <v>81</v>
      </c>
      <c r="D148" t="s">
        <v>2123</v>
      </c>
      <c r="E148" t="s">
        <v>2124</v>
      </c>
      <c r="F148" t="s">
        <v>81</v>
      </c>
      <c r="G148" t="str">
        <f t="shared" si="6"/>
        <v>Bernard Magrez Chateau La Tour Carnet2019</v>
      </c>
      <c r="H148" t="str">
        <f t="shared" si="7"/>
        <v>Bernard Magrez Chateau La Tour Carnet2019</v>
      </c>
      <c r="I148">
        <f t="shared" si="8"/>
        <v>1</v>
      </c>
    </row>
    <row r="149" spans="1:9">
      <c r="A149" s="5" t="s">
        <v>1866</v>
      </c>
      <c r="B149" s="6" t="s">
        <v>2109</v>
      </c>
      <c r="C149" s="5" t="s">
        <v>137</v>
      </c>
      <c r="D149" t="s">
        <v>2125</v>
      </c>
      <c r="E149" t="s">
        <v>2109</v>
      </c>
      <c r="F149" t="s">
        <v>137</v>
      </c>
      <c r="G149" t="str">
        <f t="shared" si="6"/>
        <v>Domaine Francois Gaunoux Pommard 'Les Epenots' Premier Cru2017</v>
      </c>
      <c r="H149" t="str">
        <f t="shared" si="7"/>
        <v>Domaine Francois Gaunoux Pommard 'Les Epenots' Premier Cru2017</v>
      </c>
      <c r="I149">
        <f t="shared" si="8"/>
        <v>1</v>
      </c>
    </row>
    <row r="150" spans="1:9">
      <c r="A150" s="5" t="s">
        <v>1868</v>
      </c>
      <c r="B150" s="6" t="s">
        <v>2127</v>
      </c>
      <c r="C150" s="5" t="s">
        <v>222</v>
      </c>
      <c r="D150" t="s">
        <v>2126</v>
      </c>
      <c r="E150" t="s">
        <v>2127</v>
      </c>
      <c r="F150" t="s">
        <v>222</v>
      </c>
      <c r="G150" t="str">
        <f t="shared" si="6"/>
        <v>Château Cantemerle 'Les Allées de Cantemerle'2015</v>
      </c>
      <c r="H150" t="str">
        <f t="shared" si="7"/>
        <v>Château Cantemerle 'Les Allées de Cantemerle'2015</v>
      </c>
      <c r="I150">
        <f t="shared" si="8"/>
        <v>1</v>
      </c>
    </row>
    <row r="151" spans="1:9">
      <c r="A151" s="5" t="s">
        <v>1870</v>
      </c>
      <c r="B151" s="6" t="s">
        <v>2095</v>
      </c>
      <c r="C151" s="5" t="s">
        <v>346</v>
      </c>
      <c r="D151" t="s">
        <v>2128</v>
      </c>
      <c r="E151" t="s">
        <v>2095</v>
      </c>
      <c r="F151" t="s">
        <v>346</v>
      </c>
      <c r="G151" t="str">
        <f t="shared" si="6"/>
        <v>Thunevin-Calvet Maury Vin Doux Naturel2004</v>
      </c>
      <c r="H151" t="str">
        <f t="shared" si="7"/>
        <v>Thunevin-Calvet Maury Vin Doux Naturel2004</v>
      </c>
      <c r="I151">
        <f t="shared" si="8"/>
        <v>1</v>
      </c>
    </row>
    <row r="152" spans="1:9">
      <c r="A152" s="5" t="s">
        <v>1872</v>
      </c>
      <c r="B152" s="6" t="s">
        <v>2130</v>
      </c>
      <c r="C152" s="5" t="s">
        <v>56</v>
      </c>
      <c r="D152" t="s">
        <v>2129</v>
      </c>
      <c r="E152" t="s">
        <v>2130</v>
      </c>
      <c r="F152" t="s">
        <v>56</v>
      </c>
      <c r="G152" t="str">
        <f t="shared" si="6"/>
        <v>Domaine Mongeard-Mugneret Clos-de-Vougeot Grand Cru2021</v>
      </c>
      <c r="H152" t="str">
        <f t="shared" si="7"/>
        <v>Domaine Mongeard-Mugneret Clos-de-Vougeot Grand Cru2021</v>
      </c>
      <c r="I152">
        <f t="shared" si="8"/>
        <v>1</v>
      </c>
    </row>
    <row r="153" spans="1:9">
      <c r="A153" s="5" t="s">
        <v>1874</v>
      </c>
      <c r="B153" s="6" t="s">
        <v>2132</v>
      </c>
      <c r="C153" s="5" t="s">
        <v>56</v>
      </c>
      <c r="D153" t="s">
        <v>2131</v>
      </c>
      <c r="E153" t="s">
        <v>2132</v>
      </c>
      <c r="F153" t="s">
        <v>56</v>
      </c>
      <c r="G153" t="str">
        <f t="shared" si="6"/>
        <v>Domaine Tortochot Mazis-Chambertin Grand Cru2021</v>
      </c>
      <c r="H153" t="str">
        <f t="shared" si="7"/>
        <v>Domaine Tortochot Mazis-Chambertin Grand Cru2021</v>
      </c>
      <c r="I153">
        <f t="shared" si="8"/>
        <v>1</v>
      </c>
    </row>
    <row r="154" spans="1:9">
      <c r="A154" s="5" t="s">
        <v>1876</v>
      </c>
      <c r="B154" s="6" t="s">
        <v>2134</v>
      </c>
      <c r="C154" s="5" t="s">
        <v>30</v>
      </c>
      <c r="D154" t="s">
        <v>2133</v>
      </c>
      <c r="E154" t="s">
        <v>2134</v>
      </c>
      <c r="F154" t="s">
        <v>30</v>
      </c>
      <c r="G154" t="str">
        <f t="shared" si="6"/>
        <v>Domaine Tortochot Morey-Saint-Denis 'Renaissance' Premier Cru2022</v>
      </c>
      <c r="H154" t="str">
        <f t="shared" si="7"/>
        <v>Domaine Tortochot Morey-Saint-Denis 'Renaissance' Premier Cru2022</v>
      </c>
      <c r="I154">
        <f t="shared" si="8"/>
        <v>1</v>
      </c>
    </row>
    <row r="155" spans="1:9">
      <c r="A155" s="5" t="s">
        <v>1878</v>
      </c>
      <c r="B155" s="6" t="s">
        <v>2445</v>
      </c>
      <c r="C155" s="5" t="s">
        <v>172</v>
      </c>
      <c r="D155" t="s">
        <v>2135</v>
      </c>
      <c r="E155" t="s">
        <v>2124</v>
      </c>
      <c r="F155" t="s">
        <v>172</v>
      </c>
      <c r="G155" t="str">
        <f t="shared" si="6"/>
        <v>Bernard Magrez Chateau La Tour Carnet2012</v>
      </c>
      <c r="H155" t="str">
        <f t="shared" si="7"/>
        <v>Bernard Magrez Chateau La Tour Carnet2012</v>
      </c>
      <c r="I155">
        <f t="shared" si="8"/>
        <v>1</v>
      </c>
    </row>
    <row r="156" spans="1:9">
      <c r="A156" s="5" t="s">
        <v>1880</v>
      </c>
      <c r="B156" s="6" t="s">
        <v>2137</v>
      </c>
      <c r="C156" s="5" t="s">
        <v>56</v>
      </c>
      <c r="D156" t="s">
        <v>2136</v>
      </c>
      <c r="E156" t="s">
        <v>2137</v>
      </c>
      <c r="F156" t="s">
        <v>56</v>
      </c>
      <c r="G156" t="str">
        <f t="shared" si="6"/>
        <v>Penfolds Koonunga Hill 'Seventy-Six' Shiraz Cabernet Sauvignon2021</v>
      </c>
      <c r="H156" t="str">
        <f t="shared" si="7"/>
        <v>Penfolds Koonunga Hill 'Seventy-Six' Shiraz Cabernet Sauvignon2021</v>
      </c>
      <c r="I156">
        <f t="shared" si="8"/>
        <v>1</v>
      </c>
    </row>
    <row r="157" spans="1:9">
      <c r="A157" s="5" t="s">
        <v>1882</v>
      </c>
      <c r="B157" s="6" t="s">
        <v>889</v>
      </c>
      <c r="C157" s="5" t="s">
        <v>222</v>
      </c>
      <c r="D157" t="s">
        <v>2138</v>
      </c>
      <c r="E157" t="s">
        <v>889</v>
      </c>
      <c r="F157" t="s">
        <v>222</v>
      </c>
      <c r="G157" t="str">
        <f t="shared" si="6"/>
        <v>Château Smith Haut Lafitte2015</v>
      </c>
      <c r="H157" t="str">
        <f t="shared" si="7"/>
        <v>Château Smith Haut Lafitte2015</v>
      </c>
      <c r="I157">
        <f t="shared" si="8"/>
        <v>1</v>
      </c>
    </row>
    <row r="158" spans="1:9">
      <c r="A158" s="5" t="s">
        <v>1884</v>
      </c>
      <c r="B158" s="7" t="s">
        <v>1336</v>
      </c>
      <c r="C158" s="5" t="s">
        <v>118</v>
      </c>
      <c r="D158" t="s">
        <v>2139</v>
      </c>
      <c r="E158" t="s">
        <v>1336</v>
      </c>
      <c r="F158" t="s">
        <v>118</v>
      </c>
      <c r="G158" t="str">
        <f t="shared" si="6"/>
        <v>Château Troplong Mondot2018</v>
      </c>
      <c r="H158" t="str">
        <f t="shared" si="7"/>
        <v>Château Troplong Mondot2018</v>
      </c>
      <c r="I158">
        <f t="shared" si="8"/>
        <v>1</v>
      </c>
    </row>
    <row r="159" spans="1:9">
      <c r="A159" s="5" t="s">
        <v>1886</v>
      </c>
      <c r="B159" s="7" t="s">
        <v>2141</v>
      </c>
      <c r="C159" s="5" t="s">
        <v>118</v>
      </c>
      <c r="D159" t="s">
        <v>2140</v>
      </c>
      <c r="E159" t="s">
        <v>2141</v>
      </c>
      <c r="F159" t="s">
        <v>118</v>
      </c>
      <c r="G159" t="str">
        <f t="shared" si="6"/>
        <v>Clos Badon Thunevin2018</v>
      </c>
      <c r="H159" t="str">
        <f t="shared" si="7"/>
        <v>Clos Badon Thunevin2018</v>
      </c>
      <c r="I159">
        <f t="shared" si="8"/>
        <v>1</v>
      </c>
    </row>
    <row r="160" spans="1:9">
      <c r="A160" s="5" t="s">
        <v>1888</v>
      </c>
      <c r="B160" s="6" t="s">
        <v>2025</v>
      </c>
      <c r="C160" s="5" t="s">
        <v>92</v>
      </c>
      <c r="D160" t="s">
        <v>2142</v>
      </c>
      <c r="E160" t="s">
        <v>2025</v>
      </c>
      <c r="F160" t="s">
        <v>92</v>
      </c>
      <c r="G160" t="str">
        <f t="shared" si="6"/>
        <v>Conti Costanti Calbello 'Ardingo' Toscana IGT2020</v>
      </c>
      <c r="H160" t="str">
        <f t="shared" si="7"/>
        <v>Conti Costanti Calbello 'Ardingo' Toscana IGT2020</v>
      </c>
      <c r="I160">
        <f t="shared" si="8"/>
        <v>1</v>
      </c>
    </row>
    <row r="161" spans="1:9">
      <c r="A161" s="5" t="s">
        <v>1890</v>
      </c>
      <c r="B161" s="6" t="s">
        <v>2144</v>
      </c>
      <c r="C161" s="5" t="s">
        <v>139</v>
      </c>
      <c r="D161" t="s">
        <v>2143</v>
      </c>
      <c r="E161" t="s">
        <v>2144</v>
      </c>
      <c r="F161" t="s">
        <v>139</v>
      </c>
      <c r="G161" t="str">
        <f t="shared" si="6"/>
        <v>Domaine de Chevalier 2010</v>
      </c>
      <c r="H161" t="str">
        <f t="shared" si="7"/>
        <v>Domaine de Chevalier 2010</v>
      </c>
      <c r="I161">
        <f t="shared" si="8"/>
        <v>1</v>
      </c>
    </row>
    <row r="162" spans="1:9">
      <c r="A162" s="5" t="s">
        <v>1892</v>
      </c>
      <c r="B162" s="6" t="s">
        <v>2146</v>
      </c>
      <c r="C162" s="5" t="s">
        <v>81</v>
      </c>
      <c r="D162" t="s">
        <v>2145</v>
      </c>
      <c r="E162" t="s">
        <v>2146</v>
      </c>
      <c r="F162" t="s">
        <v>81</v>
      </c>
      <c r="G162" t="str">
        <f t="shared" si="6"/>
        <v>Château de La Tour Clos-de-Vougeot Grand Cru2019</v>
      </c>
      <c r="H162" t="str">
        <f t="shared" si="7"/>
        <v>Château de La Tour Clos-de-Vougeot Grand Cru2019</v>
      </c>
      <c r="I162">
        <f t="shared" si="8"/>
        <v>1</v>
      </c>
    </row>
    <row r="163" spans="1:9">
      <c r="A163" s="5" t="s">
        <v>1894</v>
      </c>
      <c r="B163" s="6" t="s">
        <v>2148</v>
      </c>
      <c r="C163" s="5" t="s">
        <v>118</v>
      </c>
      <c r="D163" t="s">
        <v>2147</v>
      </c>
      <c r="E163" t="s">
        <v>2148</v>
      </c>
      <c r="F163" t="s">
        <v>118</v>
      </c>
      <c r="G163" t="str">
        <f t="shared" si="6"/>
        <v>Château d'Issan 2018</v>
      </c>
      <c r="H163" t="str">
        <f t="shared" si="7"/>
        <v>Château d'Issan 2018</v>
      </c>
      <c r="I163">
        <f t="shared" si="8"/>
        <v>1</v>
      </c>
    </row>
    <row r="164" spans="1:9">
      <c r="A164" s="5" t="s">
        <v>1896</v>
      </c>
      <c r="B164" s="6" t="s">
        <v>2150</v>
      </c>
      <c r="C164" s="5" t="s">
        <v>56</v>
      </c>
      <c r="D164" t="s">
        <v>2149</v>
      </c>
      <c r="E164" t="s">
        <v>2150</v>
      </c>
      <c r="F164" t="s">
        <v>56</v>
      </c>
      <c r="G164" t="str">
        <f t="shared" si="6"/>
        <v>Château Leoville Poyferre2021</v>
      </c>
      <c r="H164" t="str">
        <f t="shared" si="7"/>
        <v>Château Leoville Poyferre2021</v>
      </c>
      <c r="I164">
        <f t="shared" si="8"/>
        <v>1</v>
      </c>
    </row>
    <row r="165" spans="1:9">
      <c r="A165" s="5" t="s">
        <v>1898</v>
      </c>
      <c r="B165" s="6" t="s">
        <v>2446</v>
      </c>
      <c r="C165" s="5" t="s">
        <v>222</v>
      </c>
      <c r="D165" t="s">
        <v>2151</v>
      </c>
      <c r="E165" t="s">
        <v>2152</v>
      </c>
      <c r="F165" t="s">
        <v>222</v>
      </c>
      <c r="G165" t="str">
        <f t="shared" si="6"/>
        <v>Avignonesi Capannelle 50&amp;50 Toscana IGT2015</v>
      </c>
      <c r="H165" t="str">
        <f t="shared" si="7"/>
        <v>Avignonesi Capannelle 50&amp;50 Toscana IGT2015</v>
      </c>
      <c r="I165">
        <f t="shared" si="8"/>
        <v>1</v>
      </c>
    </row>
    <row r="166" spans="1:9">
      <c r="A166" s="5" t="s">
        <v>1900</v>
      </c>
      <c r="B166" s="6" t="s">
        <v>2154</v>
      </c>
      <c r="C166" s="5" t="s">
        <v>56</v>
      </c>
      <c r="D166" t="s">
        <v>2153</v>
      </c>
      <c r="E166" t="s">
        <v>2154</v>
      </c>
      <c r="F166" t="s">
        <v>56</v>
      </c>
      <c r="G166" t="str">
        <f t="shared" si="6"/>
        <v>Domaine Bruno Clair Gevrey-Chambertin 'Clos du Fonteny' Monopole Premier Cru2021</v>
      </c>
      <c r="H166" t="str">
        <f t="shared" si="7"/>
        <v>Domaine Bruno Clair Gevrey-Chambertin 'Clos du Fonteny' Monopole Premier Cru2021</v>
      </c>
      <c r="I166">
        <f t="shared" si="8"/>
        <v>1</v>
      </c>
    </row>
    <row r="167" spans="1:9">
      <c r="A167" s="5" t="s">
        <v>1902</v>
      </c>
      <c r="B167" s="6" t="s">
        <v>2156</v>
      </c>
      <c r="C167" s="5" t="s">
        <v>30</v>
      </c>
      <c r="D167" t="s">
        <v>2155</v>
      </c>
      <c r="E167" t="s">
        <v>2156</v>
      </c>
      <c r="F167" t="s">
        <v>30</v>
      </c>
      <c r="G167" t="str">
        <f t="shared" si="6"/>
        <v>Falletto di Bruno Giacosa 'Asili' Barbaresco DOCG2022</v>
      </c>
      <c r="H167" t="str">
        <f t="shared" si="7"/>
        <v>Falletto di Bruno Giacosa 'Asili' Barbaresco DOCG2022</v>
      </c>
      <c r="I167">
        <f t="shared" si="8"/>
        <v>1</v>
      </c>
    </row>
    <row r="168" spans="1:9">
      <c r="A168" s="5" t="s">
        <v>1904</v>
      </c>
      <c r="B168" s="6" t="s">
        <v>2158</v>
      </c>
      <c r="C168" s="5" t="s">
        <v>92</v>
      </c>
      <c r="D168" t="s">
        <v>2157</v>
      </c>
      <c r="E168" t="s">
        <v>2158</v>
      </c>
      <c r="F168" t="s">
        <v>92</v>
      </c>
      <c r="G168" t="str">
        <f t="shared" si="6"/>
        <v>Falletto di Bruno Giacosa 'Falletto' Barolo DOCG2020</v>
      </c>
      <c r="H168" t="str">
        <f t="shared" si="7"/>
        <v>Falletto di Bruno Giacosa 'Falletto' Barolo DOCG2020</v>
      </c>
      <c r="I168">
        <f t="shared" si="8"/>
        <v>1</v>
      </c>
    </row>
    <row r="169" spans="1:9">
      <c r="A169" s="5" t="s">
        <v>1906</v>
      </c>
      <c r="B169" s="6" t="s">
        <v>2160</v>
      </c>
      <c r="C169" s="5" t="s">
        <v>30</v>
      </c>
      <c r="D169" t="s">
        <v>2159</v>
      </c>
      <c r="E169" t="s">
        <v>2160</v>
      </c>
      <c r="F169" t="s">
        <v>30</v>
      </c>
      <c r="G169" t="str">
        <f t="shared" si="6"/>
        <v>Dujac Pere et Fils Chambolle-Musigny2022</v>
      </c>
      <c r="H169" t="str">
        <f t="shared" si="7"/>
        <v>Dujac Pere et Fils Chambolle-Musigny2022</v>
      </c>
      <c r="I169">
        <f t="shared" si="8"/>
        <v>1</v>
      </c>
    </row>
    <row r="170" spans="1:9">
      <c r="A170" s="5" t="s">
        <v>1908</v>
      </c>
      <c r="B170" s="6" t="s">
        <v>2162</v>
      </c>
      <c r="C170" s="5" t="s">
        <v>137</v>
      </c>
      <c r="D170" t="s">
        <v>2161</v>
      </c>
      <c r="E170" t="s">
        <v>2162</v>
      </c>
      <c r="F170" t="s">
        <v>137</v>
      </c>
      <c r="G170" t="str">
        <f t="shared" si="6"/>
        <v>Château Montrose La Dame de Montrose2017</v>
      </c>
      <c r="H170" t="str">
        <f t="shared" si="7"/>
        <v>Château Montrose La Dame de Montrose2017</v>
      </c>
      <c r="I170">
        <f t="shared" si="8"/>
        <v>1</v>
      </c>
    </row>
    <row r="171" spans="1:9">
      <c r="A171" s="5" t="s">
        <v>1910</v>
      </c>
      <c r="B171" s="6" t="s">
        <v>2164</v>
      </c>
      <c r="C171" s="5" t="s">
        <v>92</v>
      </c>
      <c r="D171" t="s">
        <v>2163</v>
      </c>
      <c r="E171" t="s">
        <v>2164</v>
      </c>
      <c r="F171" t="s">
        <v>92</v>
      </c>
      <c r="G171" t="str">
        <f t="shared" si="6"/>
        <v>Xavier Vignon 'Arcane VIII La Justice' Côtes du Rhône2020</v>
      </c>
      <c r="H171" t="str">
        <f t="shared" si="7"/>
        <v>Xavier Vignon 'Arcane VIII La Justice' Côtes du Rhône2020</v>
      </c>
      <c r="I171">
        <f t="shared" si="8"/>
        <v>1</v>
      </c>
    </row>
    <row r="172" spans="1:9">
      <c r="A172" s="5" t="s">
        <v>1912</v>
      </c>
      <c r="B172" s="6" t="s">
        <v>2166</v>
      </c>
      <c r="C172" s="5" t="s">
        <v>144</v>
      </c>
      <c r="D172" t="s">
        <v>2165</v>
      </c>
      <c r="E172" t="s">
        <v>2166</v>
      </c>
      <c r="F172" t="s">
        <v>144</v>
      </c>
      <c r="G172" t="str">
        <f t="shared" si="6"/>
        <v>Xavier Vignon Le Petit Xavier NVNV</v>
      </c>
      <c r="H172" t="str">
        <f t="shared" si="7"/>
        <v>Xavier Vignon Le Petit Xavier NVNV</v>
      </c>
      <c r="I172">
        <f t="shared" si="8"/>
        <v>1</v>
      </c>
    </row>
    <row r="173" spans="1:9">
      <c r="A173" s="5" t="s">
        <v>1914</v>
      </c>
      <c r="B173" s="6" t="s">
        <v>2168</v>
      </c>
      <c r="C173" s="5" t="s">
        <v>81</v>
      </c>
      <c r="D173" t="s">
        <v>2167</v>
      </c>
      <c r="E173" t="s">
        <v>2168</v>
      </c>
      <c r="F173" t="s">
        <v>81</v>
      </c>
      <c r="G173" t="str">
        <f t="shared" si="6"/>
        <v>Château de Cruzeau2019</v>
      </c>
      <c r="H173" t="str">
        <f t="shared" si="7"/>
        <v>Château de Cruzeau2019</v>
      </c>
      <c r="I173">
        <f t="shared" si="8"/>
        <v>1</v>
      </c>
    </row>
    <row r="174" spans="1:9">
      <c r="A174" s="5" t="s">
        <v>1916</v>
      </c>
      <c r="B174" s="6" t="s">
        <v>2170</v>
      </c>
      <c r="C174" s="5" t="s">
        <v>222</v>
      </c>
      <c r="D174" t="s">
        <v>2169</v>
      </c>
      <c r="E174" t="s">
        <v>2170</v>
      </c>
      <c r="F174" t="s">
        <v>222</v>
      </c>
      <c r="G174" t="str">
        <f t="shared" si="6"/>
        <v>Château Rauzan-Segla2015</v>
      </c>
      <c r="H174" t="str">
        <f t="shared" si="7"/>
        <v>Château Rauzan-Segla2015</v>
      </c>
      <c r="I174">
        <f t="shared" si="8"/>
        <v>1</v>
      </c>
    </row>
    <row r="175" spans="1:9">
      <c r="A175" s="5" t="s">
        <v>1917</v>
      </c>
      <c r="B175" s="6" t="s">
        <v>2172</v>
      </c>
      <c r="C175" s="5" t="s">
        <v>81</v>
      </c>
      <c r="D175" t="s">
        <v>2171</v>
      </c>
      <c r="E175" t="s">
        <v>2172</v>
      </c>
      <c r="F175" t="s">
        <v>81</v>
      </c>
      <c r="G175" t="str">
        <f t="shared" si="6"/>
        <v>Clos de Mez Morgon Château Gaillard2019</v>
      </c>
      <c r="H175" t="str">
        <f t="shared" si="7"/>
        <v>Clos de Mez Morgon Château Gaillard2019</v>
      </c>
      <c r="I175">
        <f t="shared" si="8"/>
        <v>1</v>
      </c>
    </row>
    <row r="176" spans="1:9">
      <c r="A176" s="5" t="s">
        <v>1918</v>
      </c>
      <c r="B176" s="6" t="s">
        <v>2174</v>
      </c>
      <c r="C176" s="5" t="s">
        <v>129</v>
      </c>
      <c r="D176" t="s">
        <v>2173</v>
      </c>
      <c r="E176" t="s">
        <v>2174</v>
      </c>
      <c r="F176" t="s">
        <v>129</v>
      </c>
      <c r="G176" t="str">
        <f t="shared" si="6"/>
        <v>Domaine Confuron-Cotetidot Vosne-Romanée2016</v>
      </c>
      <c r="H176" t="str">
        <f t="shared" si="7"/>
        <v>Domaine Confuron-Cotetidot Vosne-Romanée2016</v>
      </c>
      <c r="I176">
        <f t="shared" si="8"/>
        <v>1</v>
      </c>
    </row>
    <row r="177" spans="1:9">
      <c r="A177" s="5" t="s">
        <v>1920</v>
      </c>
      <c r="B177" s="6" t="s">
        <v>2176</v>
      </c>
      <c r="C177" s="5" t="s">
        <v>56</v>
      </c>
      <c r="D177" t="s">
        <v>2175</v>
      </c>
      <c r="E177" t="s">
        <v>2176</v>
      </c>
      <c r="F177" t="s">
        <v>56</v>
      </c>
      <c r="G177" t="str">
        <f t="shared" si="6"/>
        <v>Domaine Mongeard-Mugneret Echezeaux 'La Grande Complication' Grand Cru2021</v>
      </c>
      <c r="H177" t="str">
        <f t="shared" si="7"/>
        <v>Domaine Mongeard-Mugneret Echezeaux 'La Grande Complication' Grand Cru2021</v>
      </c>
      <c r="I177">
        <f t="shared" si="8"/>
        <v>1</v>
      </c>
    </row>
    <row r="178" spans="1:9">
      <c r="A178" s="5" t="s">
        <v>1921</v>
      </c>
      <c r="B178" s="6" t="s">
        <v>2178</v>
      </c>
      <c r="C178" s="5" t="s">
        <v>81</v>
      </c>
      <c r="D178" t="s">
        <v>2177</v>
      </c>
      <c r="E178" t="s">
        <v>2178</v>
      </c>
      <c r="F178" t="s">
        <v>81</v>
      </c>
      <c r="G178" t="str">
        <f t="shared" si="6"/>
        <v>Domaine Nicolas Rossignol Volnay 'Ronceret' Premier Cru2019</v>
      </c>
      <c r="H178" t="str">
        <f t="shared" si="7"/>
        <v>Domaine Nicolas Rossignol Volnay 'Ronceret' Premier Cru2019</v>
      </c>
      <c r="I178">
        <f t="shared" si="8"/>
        <v>1</v>
      </c>
    </row>
    <row r="179" spans="1:9">
      <c r="A179" s="5" t="s">
        <v>1922</v>
      </c>
      <c r="B179" s="6" t="s">
        <v>2180</v>
      </c>
      <c r="C179" s="5" t="s">
        <v>30</v>
      </c>
      <c r="D179" t="s">
        <v>2179</v>
      </c>
      <c r="E179" t="s">
        <v>2180</v>
      </c>
      <c r="F179" t="s">
        <v>30</v>
      </c>
      <c r="G179" t="str">
        <f t="shared" si="6"/>
        <v>Domaine des Lambrays Morey-Saint-Denis 'Les Loups' Premier Cru 2022</v>
      </c>
      <c r="H179" t="str">
        <f t="shared" si="7"/>
        <v>Domaine des Lambrays Morey-Saint-Denis 'Les Loups' Premier Cru 2022</v>
      </c>
      <c r="I179">
        <f t="shared" si="8"/>
        <v>1</v>
      </c>
    </row>
    <row r="180" spans="1:9">
      <c r="A180" s="5" t="s">
        <v>1924</v>
      </c>
      <c r="B180" s="6" t="s">
        <v>2182</v>
      </c>
      <c r="C180" s="5" t="s">
        <v>30</v>
      </c>
      <c r="D180" t="s">
        <v>2181</v>
      </c>
      <c r="E180" t="s">
        <v>2182</v>
      </c>
      <c r="F180" t="s">
        <v>30</v>
      </c>
      <c r="G180" t="str">
        <f t="shared" si="6"/>
        <v>AJ Vaona Vosne-Romanée 'Les Beaux Monts' Premier Cru 2022</v>
      </c>
      <c r="H180" t="str">
        <f t="shared" si="7"/>
        <v>AJ Vaona Vosne-Romanée 'Les Beaux Monts' Premier Cru 2022</v>
      </c>
      <c r="I180">
        <f t="shared" si="8"/>
        <v>1</v>
      </c>
    </row>
    <row r="181" spans="1:9">
      <c r="A181" s="5" t="s">
        <v>1926</v>
      </c>
      <c r="B181" s="6" t="s">
        <v>2184</v>
      </c>
      <c r="C181" s="5" t="s">
        <v>92</v>
      </c>
      <c r="D181" t="s">
        <v>2183</v>
      </c>
      <c r="E181" t="s">
        <v>2184</v>
      </c>
      <c r="F181" t="s">
        <v>92</v>
      </c>
      <c r="G181" t="str">
        <f t="shared" si="6"/>
        <v>Falletto di Bruno Giacosa 'Rabaja' Barbaresco DOCG2020</v>
      </c>
      <c r="H181" t="str">
        <f t="shared" si="7"/>
        <v>Falletto di Bruno Giacosa 'Rabaja' Barbaresco DOCG2020</v>
      </c>
      <c r="I181">
        <f t="shared" si="8"/>
        <v>1</v>
      </c>
    </row>
    <row r="182" spans="1:9">
      <c r="A182" s="5" t="s">
        <v>1928</v>
      </c>
      <c r="B182" s="6" t="s">
        <v>2186</v>
      </c>
      <c r="C182" s="5" t="s">
        <v>127</v>
      </c>
      <c r="D182" t="s">
        <v>2185</v>
      </c>
      <c r="E182" t="s">
        <v>2186</v>
      </c>
      <c r="F182" t="s">
        <v>127</v>
      </c>
      <c r="G182" t="str">
        <f t="shared" si="6"/>
        <v>Château Calon-Ségur2009</v>
      </c>
      <c r="H182" t="str">
        <f t="shared" si="7"/>
        <v>Château Calon-Ségur2009</v>
      </c>
      <c r="I182">
        <f t="shared" si="8"/>
        <v>1</v>
      </c>
    </row>
    <row r="183" spans="1:9">
      <c r="A183" s="5" t="s">
        <v>1929</v>
      </c>
      <c r="B183" s="6" t="s">
        <v>2186</v>
      </c>
      <c r="C183" s="5" t="s">
        <v>56</v>
      </c>
      <c r="D183" t="s">
        <v>2187</v>
      </c>
      <c r="E183" t="s">
        <v>2186</v>
      </c>
      <c r="F183" t="s">
        <v>56</v>
      </c>
      <c r="G183" t="str">
        <f t="shared" si="6"/>
        <v>Château Calon-Ségur2021</v>
      </c>
      <c r="H183" t="str">
        <f t="shared" si="7"/>
        <v>Château Calon-Ségur2021</v>
      </c>
      <c r="I183">
        <f t="shared" si="8"/>
        <v>1</v>
      </c>
    </row>
    <row r="184" spans="1:9">
      <c r="A184" s="5" t="s">
        <v>1931</v>
      </c>
      <c r="B184" s="6" t="s">
        <v>2189</v>
      </c>
      <c r="C184" s="5" t="s">
        <v>81</v>
      </c>
      <c r="D184" t="s">
        <v>2188</v>
      </c>
      <c r="E184" t="s">
        <v>2189</v>
      </c>
      <c r="F184" t="s">
        <v>81</v>
      </c>
      <c r="G184" t="str">
        <f t="shared" si="6"/>
        <v>Château de La Tour Clos-de-Vougeot Vieilles Vignes Grand Cru2019</v>
      </c>
      <c r="H184" t="str">
        <f t="shared" si="7"/>
        <v>Château de La Tour Clos-de-Vougeot Vieilles Vignes Grand Cru2019</v>
      </c>
      <c r="I184">
        <f t="shared" si="8"/>
        <v>1</v>
      </c>
    </row>
    <row r="185" spans="1:9">
      <c r="A185" s="5" t="s">
        <v>1933</v>
      </c>
      <c r="B185" s="7" t="s">
        <v>2191</v>
      </c>
      <c r="C185" s="5" t="s">
        <v>81</v>
      </c>
      <c r="D185" t="s">
        <v>2190</v>
      </c>
      <c r="E185" t="s">
        <v>2191</v>
      </c>
      <c r="F185" t="s">
        <v>81</v>
      </c>
      <c r="G185" t="str">
        <f t="shared" si="6"/>
        <v>Château Maro de Saint-Amant2019</v>
      </c>
      <c r="H185" t="str">
        <f t="shared" si="7"/>
        <v>Château Maro de Saint-Amant2019</v>
      </c>
      <c r="I185">
        <f t="shared" si="8"/>
        <v>1</v>
      </c>
    </row>
    <row r="186" spans="1:9">
      <c r="A186" s="5" t="s">
        <v>1934</v>
      </c>
      <c r="B186" s="6" t="s">
        <v>2053</v>
      </c>
      <c r="C186" s="5" t="s">
        <v>118</v>
      </c>
      <c r="D186" t="s">
        <v>2192</v>
      </c>
      <c r="E186" t="s">
        <v>2053</v>
      </c>
      <c r="F186" t="s">
        <v>118</v>
      </c>
      <c r="G186" t="str">
        <f t="shared" si="6"/>
        <v>Domaine Daniel-Etienne Defaix Bourgogne Rouge2018</v>
      </c>
      <c r="H186" t="str">
        <f t="shared" si="7"/>
        <v>Domaine Daniel-Etienne Defaix Bourgogne Rouge2018</v>
      </c>
      <c r="I186">
        <f t="shared" si="8"/>
        <v>1</v>
      </c>
    </row>
    <row r="187" spans="1:9">
      <c r="A187" s="5" t="s">
        <v>1935</v>
      </c>
      <c r="B187" s="6" t="s">
        <v>2194</v>
      </c>
      <c r="C187" s="5" t="s">
        <v>30</v>
      </c>
      <c r="D187" t="s">
        <v>2193</v>
      </c>
      <c r="E187" t="s">
        <v>2194</v>
      </c>
      <c r="F187" t="s">
        <v>30</v>
      </c>
      <c r="G187" t="str">
        <f t="shared" si="6"/>
        <v>Domaine Denis Mortet Gevrey-Chambertin Premier Cru2022</v>
      </c>
      <c r="H187" t="str">
        <f t="shared" si="7"/>
        <v>Domaine Denis Mortet Gevrey-Chambertin Premier Cru2022</v>
      </c>
      <c r="I187">
        <f t="shared" si="8"/>
        <v>1</v>
      </c>
    </row>
    <row r="188" spans="1:9">
      <c r="A188" s="5" t="s">
        <v>1937</v>
      </c>
      <c r="B188" s="6" t="s">
        <v>2196</v>
      </c>
      <c r="C188" s="5" t="s">
        <v>118</v>
      </c>
      <c r="D188" t="s">
        <v>2195</v>
      </c>
      <c r="E188" t="s">
        <v>2196</v>
      </c>
      <c r="F188" t="s">
        <v>118</v>
      </c>
      <c r="G188" t="str">
        <f t="shared" si="6"/>
        <v>Domaine Denis Mortet Gevrey-Chambertin 'Les Champeaux' Premier Cru2018</v>
      </c>
      <c r="H188" t="str">
        <f t="shared" si="7"/>
        <v>Domaine Denis Mortet Gevrey-Chambertin 'Les Champeaux' Premier Cru2018</v>
      </c>
      <c r="I188">
        <f t="shared" si="8"/>
        <v>1</v>
      </c>
    </row>
    <row r="189" spans="1:9">
      <c r="A189" s="5" t="s">
        <v>1938</v>
      </c>
      <c r="B189" s="6" t="s">
        <v>2198</v>
      </c>
      <c r="C189" s="5" t="s">
        <v>118</v>
      </c>
      <c r="D189" t="s">
        <v>2197</v>
      </c>
      <c r="E189" t="s">
        <v>2198</v>
      </c>
      <c r="F189" t="s">
        <v>118</v>
      </c>
      <c r="G189" t="str">
        <f t="shared" si="6"/>
        <v>Domaine de la Janasse Côtes du Rhône Villages 'Terre D'Argile'2018</v>
      </c>
      <c r="H189" t="str">
        <f t="shared" si="7"/>
        <v>Domaine de la Janasse Côtes du Rhône Villages 'Terre D'Argile'2018</v>
      </c>
      <c r="I189">
        <f t="shared" si="8"/>
        <v>1</v>
      </c>
    </row>
    <row r="190" spans="1:9">
      <c r="A190" s="5" t="s">
        <v>1940</v>
      </c>
      <c r="B190" s="6" t="s">
        <v>2200</v>
      </c>
      <c r="C190" s="5" t="s">
        <v>56</v>
      </c>
      <c r="D190" t="s">
        <v>2199</v>
      </c>
      <c r="E190" t="s">
        <v>2200</v>
      </c>
      <c r="F190" t="s">
        <v>56</v>
      </c>
      <c r="G190" t="str">
        <f t="shared" si="6"/>
        <v>Domaine Tortochot Charmes-Chambertin Grand Cru2021</v>
      </c>
      <c r="H190" t="str">
        <f t="shared" si="7"/>
        <v>Domaine Tortochot Charmes-Chambertin Grand Cru2021</v>
      </c>
      <c r="I190">
        <f t="shared" si="8"/>
        <v>1</v>
      </c>
    </row>
    <row r="191" spans="1:9">
      <c r="A191" s="5" t="s">
        <v>1941</v>
      </c>
      <c r="B191" s="7" t="s">
        <v>2202</v>
      </c>
      <c r="C191" s="5" t="s">
        <v>276</v>
      </c>
      <c r="D191" t="s">
        <v>2201</v>
      </c>
      <c r="E191" t="s">
        <v>2202</v>
      </c>
      <c r="F191" t="s">
        <v>276</v>
      </c>
      <c r="G191" t="str">
        <f t="shared" si="6"/>
        <v>Château Canon 1989</v>
      </c>
      <c r="H191" t="str">
        <f t="shared" si="7"/>
        <v>Château Canon 1989</v>
      </c>
      <c r="I191">
        <f t="shared" si="8"/>
        <v>1</v>
      </c>
    </row>
    <row r="192" spans="1:9">
      <c r="A192" s="5" t="s">
        <v>1943</v>
      </c>
      <c r="B192" s="6" t="s">
        <v>2204</v>
      </c>
      <c r="C192" s="5" t="s">
        <v>123</v>
      </c>
      <c r="D192" t="s">
        <v>2203</v>
      </c>
      <c r="E192" t="s">
        <v>2204</v>
      </c>
      <c r="F192" t="s">
        <v>123</v>
      </c>
      <c r="G192" t="str">
        <f t="shared" si="6"/>
        <v>Château Le Bon Pasteur2006</v>
      </c>
      <c r="H192" t="str">
        <f t="shared" si="7"/>
        <v>Château Le Bon Pasteur2006</v>
      </c>
      <c r="I192">
        <f t="shared" si="8"/>
        <v>1</v>
      </c>
    </row>
    <row r="193" spans="1:9">
      <c r="A193" s="5" t="s">
        <v>1945</v>
      </c>
      <c r="B193" s="6" t="s">
        <v>2206</v>
      </c>
      <c r="C193" s="5" t="s">
        <v>81</v>
      </c>
      <c r="D193" t="s">
        <v>2205</v>
      </c>
      <c r="E193" t="s">
        <v>2206</v>
      </c>
      <c r="F193" t="s">
        <v>81</v>
      </c>
      <c r="G193" t="str">
        <f t="shared" si="6"/>
        <v>M. Chapoutier Domaine de Bila-Haut Côtes du Roussillon Villages Latour de France 'Occultum Lapidem' Rouge2019</v>
      </c>
      <c r="H193" t="str">
        <f t="shared" si="7"/>
        <v>M. Chapoutier Domaine de Bila-Haut Côtes du Roussillon Villages Latour de France 'Occultum Lapidem' Rouge2019</v>
      </c>
      <c r="I193">
        <f t="shared" si="8"/>
        <v>1</v>
      </c>
    </row>
    <row r="194" spans="1:9">
      <c r="A194" s="5" t="s">
        <v>1946</v>
      </c>
      <c r="B194" s="6" t="s">
        <v>2208</v>
      </c>
      <c r="C194" s="5" t="s">
        <v>30</v>
      </c>
      <c r="D194" t="s">
        <v>2207</v>
      </c>
      <c r="E194" t="s">
        <v>2208</v>
      </c>
      <c r="F194" t="s">
        <v>30</v>
      </c>
      <c r="G194" t="str">
        <f t="shared" ref="G194:G257" si="9">B194&amp;C194</f>
        <v>Domaine Jean-Marc Pillot Chassagne-Montrachet 'Clos Saint-Jean' Premier Cru Rouge2022</v>
      </c>
      <c r="H194" t="str">
        <f t="shared" ref="H194:H257" si="10">E194&amp;F194</f>
        <v>Domaine Jean-Marc Pillot Chassagne-Montrachet 'Clos Saint-Jean' Premier Cru Rouge2022</v>
      </c>
      <c r="I194">
        <f t="shared" ref="I194:I257" si="11">IF(G194=H194,1,0)</f>
        <v>1</v>
      </c>
    </row>
    <row r="195" spans="1:9">
      <c r="A195" s="5" t="s">
        <v>1948</v>
      </c>
      <c r="B195" s="6" t="s">
        <v>2210</v>
      </c>
      <c r="C195" s="5" t="s">
        <v>56</v>
      </c>
      <c r="D195" t="s">
        <v>2209</v>
      </c>
      <c r="E195" t="s">
        <v>2210</v>
      </c>
      <c r="F195" t="s">
        <v>56</v>
      </c>
      <c r="G195" t="str">
        <f t="shared" si="9"/>
        <v>Domaine Tortochot Chambertin Grand Cru2021</v>
      </c>
      <c r="H195" t="str">
        <f t="shared" si="10"/>
        <v>Domaine Tortochot Chambertin Grand Cru2021</v>
      </c>
      <c r="I195">
        <f t="shared" si="11"/>
        <v>1</v>
      </c>
    </row>
    <row r="196" spans="1:9">
      <c r="A196" s="5" t="s">
        <v>1949</v>
      </c>
      <c r="B196" s="6" t="s">
        <v>2212</v>
      </c>
      <c r="C196" s="5" t="s">
        <v>56</v>
      </c>
      <c r="D196" t="s">
        <v>2211</v>
      </c>
      <c r="E196" t="s">
        <v>2212</v>
      </c>
      <c r="F196" t="s">
        <v>56</v>
      </c>
      <c r="G196" t="str">
        <f t="shared" si="9"/>
        <v>John Duval Wines 'Plexus' Shiraz-Grenache-Mourvedre2021</v>
      </c>
      <c r="H196" t="str">
        <f t="shared" si="10"/>
        <v>John Duval Wines 'Plexus' Shiraz-Grenache-Mourvedre2021</v>
      </c>
      <c r="I196">
        <f t="shared" si="11"/>
        <v>1</v>
      </c>
    </row>
    <row r="197" spans="1:9">
      <c r="A197" s="5" t="s">
        <v>1951</v>
      </c>
      <c r="B197" s="7" t="s">
        <v>2214</v>
      </c>
      <c r="C197" s="5" t="s">
        <v>118</v>
      </c>
      <c r="D197" t="s">
        <v>2213</v>
      </c>
      <c r="E197" t="s">
        <v>2214</v>
      </c>
      <c r="F197" t="s">
        <v>118</v>
      </c>
      <c r="G197" t="str">
        <f t="shared" si="9"/>
        <v>Château Cheval Blanc 'Le Petit Cheval' 2018</v>
      </c>
      <c r="H197" t="str">
        <f t="shared" si="10"/>
        <v>Château Cheval Blanc 'Le Petit Cheval' 2018</v>
      </c>
      <c r="I197">
        <f t="shared" si="11"/>
        <v>1</v>
      </c>
    </row>
    <row r="198" spans="1:9">
      <c r="A198" s="5" t="s">
        <v>1953</v>
      </c>
      <c r="B198" s="6" t="s">
        <v>2216</v>
      </c>
      <c r="C198" s="5" t="s">
        <v>222</v>
      </c>
      <c r="D198" t="s">
        <v>2215</v>
      </c>
      <c r="E198" t="s">
        <v>2216</v>
      </c>
      <c r="F198" t="s">
        <v>222</v>
      </c>
      <c r="G198" t="str">
        <f t="shared" si="9"/>
        <v>Ruffino Riserva 'Ducale Oro' Chianti Classico Gran Selezione DOCG2015</v>
      </c>
      <c r="H198" t="str">
        <f t="shared" si="10"/>
        <v>Ruffino Riserva 'Ducale Oro' Chianti Classico Gran Selezione DOCG2015</v>
      </c>
      <c r="I198">
        <f t="shared" si="11"/>
        <v>1</v>
      </c>
    </row>
    <row r="199" spans="1:9">
      <c r="A199" s="5" t="s">
        <v>1955</v>
      </c>
      <c r="B199" s="8" t="s">
        <v>2447</v>
      </c>
      <c r="C199" s="5" t="s">
        <v>92</v>
      </c>
      <c r="D199" t="s">
        <v>2217</v>
      </c>
      <c r="E199" t="s">
        <v>2218</v>
      </c>
      <c r="F199" t="s">
        <v>92</v>
      </c>
      <c r="G199" t="str">
        <f t="shared" si="9"/>
        <v>Bodegas Roda Reserva2020</v>
      </c>
      <c r="H199" t="str">
        <f t="shared" si="10"/>
        <v>Bodegas Roda Reserva2020</v>
      </c>
      <c r="I199">
        <f t="shared" si="11"/>
        <v>1</v>
      </c>
    </row>
    <row r="200" spans="1:9">
      <c r="A200" s="5" t="s">
        <v>1956</v>
      </c>
      <c r="B200" s="6" t="s">
        <v>2220</v>
      </c>
      <c r="C200" s="5" t="s">
        <v>56</v>
      </c>
      <c r="D200" t="s">
        <v>2219</v>
      </c>
      <c r="E200" t="s">
        <v>2220</v>
      </c>
      <c r="F200" t="s">
        <v>56</v>
      </c>
      <c r="G200" t="str">
        <f t="shared" si="9"/>
        <v>Château Langoa-Barton2021</v>
      </c>
      <c r="H200" t="str">
        <f t="shared" si="10"/>
        <v>Château Langoa-Barton2021</v>
      </c>
      <c r="I200">
        <f t="shared" si="11"/>
        <v>1</v>
      </c>
    </row>
    <row r="201" spans="1:9">
      <c r="A201" s="5" t="s">
        <v>1958</v>
      </c>
      <c r="B201" s="7" t="s">
        <v>2222</v>
      </c>
      <c r="C201" s="5" t="s">
        <v>56</v>
      </c>
      <c r="D201" t="s">
        <v>2221</v>
      </c>
      <c r="E201" t="s">
        <v>2222</v>
      </c>
      <c r="F201" t="s">
        <v>56</v>
      </c>
      <c r="G201" t="str">
        <f t="shared" si="9"/>
        <v>Château Pavie Macquin2021</v>
      </c>
      <c r="H201" t="str">
        <f t="shared" si="10"/>
        <v>Château Pavie Macquin2021</v>
      </c>
      <c r="I201">
        <f t="shared" si="11"/>
        <v>1</v>
      </c>
    </row>
    <row r="202" spans="1:9">
      <c r="A202" s="5" t="s">
        <v>1959</v>
      </c>
      <c r="B202" s="7" t="s">
        <v>2071</v>
      </c>
      <c r="C202" s="5" t="s">
        <v>139</v>
      </c>
      <c r="D202" t="s">
        <v>2223</v>
      </c>
      <c r="E202" t="s">
        <v>2071</v>
      </c>
      <c r="F202" t="s">
        <v>139</v>
      </c>
      <c r="G202" t="str">
        <f t="shared" si="9"/>
        <v>Château Valandraud2010</v>
      </c>
      <c r="H202" t="str">
        <f t="shared" si="10"/>
        <v>Château Valandraud2010</v>
      </c>
      <c r="I202">
        <f t="shared" si="11"/>
        <v>1</v>
      </c>
    </row>
    <row r="203" spans="1:9">
      <c r="A203" s="5" t="s">
        <v>1961</v>
      </c>
      <c r="B203" s="6" t="s">
        <v>2225</v>
      </c>
      <c r="C203" s="5" t="s">
        <v>222</v>
      </c>
      <c r="D203" t="s">
        <v>2224</v>
      </c>
      <c r="E203" t="s">
        <v>2225</v>
      </c>
      <c r="F203" t="s">
        <v>222</v>
      </c>
      <c r="G203" t="str">
        <f t="shared" si="9"/>
        <v>Domaine de la Pousse d'Or Clos de la Roche Grand Cru2015</v>
      </c>
      <c r="H203" t="str">
        <f t="shared" si="10"/>
        <v>Domaine de la Pousse d'Or Clos de la Roche Grand Cru2015</v>
      </c>
      <c r="I203">
        <f t="shared" si="11"/>
        <v>1</v>
      </c>
    </row>
    <row r="204" spans="1:9">
      <c r="A204" s="5" t="s">
        <v>1963</v>
      </c>
      <c r="B204" s="6" t="s">
        <v>2227</v>
      </c>
      <c r="C204" s="5" t="s">
        <v>56</v>
      </c>
      <c r="D204" t="s">
        <v>2226</v>
      </c>
      <c r="E204" t="s">
        <v>2227</v>
      </c>
      <c r="F204" t="s">
        <v>56</v>
      </c>
      <c r="G204" t="str">
        <f t="shared" si="9"/>
        <v>Domaine d'Eugenie Vosne-Romanee2021</v>
      </c>
      <c r="H204" t="str">
        <f t="shared" si="10"/>
        <v>Domaine d'Eugenie Vosne-Romanee2021</v>
      </c>
      <c r="I204">
        <f t="shared" si="11"/>
        <v>1</v>
      </c>
    </row>
    <row r="205" spans="1:9">
      <c r="A205" s="5" t="s">
        <v>1964</v>
      </c>
      <c r="B205" s="6" t="s">
        <v>2229</v>
      </c>
      <c r="C205" s="5" t="s">
        <v>56</v>
      </c>
      <c r="D205" t="s">
        <v>2228</v>
      </c>
      <c r="E205" t="s">
        <v>2229</v>
      </c>
      <c r="F205" t="s">
        <v>56</v>
      </c>
      <c r="G205" t="str">
        <f t="shared" si="9"/>
        <v>Domaine Mongeard-Mugneret Grands Echezeaux Grand Cru2021</v>
      </c>
      <c r="H205" t="str">
        <f t="shared" si="10"/>
        <v>Domaine Mongeard-Mugneret Grands Echezeaux Grand Cru2021</v>
      </c>
      <c r="I205">
        <f t="shared" si="11"/>
        <v>1</v>
      </c>
    </row>
    <row r="206" spans="1:9">
      <c r="A206" s="5" t="s">
        <v>1965</v>
      </c>
      <c r="B206" s="6" t="s">
        <v>2231</v>
      </c>
      <c r="C206" s="5" t="s">
        <v>129</v>
      </c>
      <c r="D206" t="s">
        <v>2230</v>
      </c>
      <c r="E206" t="s">
        <v>2231</v>
      </c>
      <c r="F206" t="s">
        <v>129</v>
      </c>
      <c r="G206" t="str">
        <f t="shared" si="9"/>
        <v>Domaine Georges Noellat Vosne-Romanee 'Les Petits Monts' Premier Cru2016</v>
      </c>
      <c r="H206" t="str">
        <f t="shared" si="10"/>
        <v>Domaine Georges Noellat Vosne-Romanee 'Les Petits Monts' Premier Cru2016</v>
      </c>
      <c r="I206">
        <f t="shared" si="11"/>
        <v>1</v>
      </c>
    </row>
    <row r="207" spans="1:9">
      <c r="A207" s="5" t="s">
        <v>1966</v>
      </c>
      <c r="B207" s="6" t="s">
        <v>2448</v>
      </c>
      <c r="C207" s="5" t="s">
        <v>81</v>
      </c>
      <c r="D207" t="s">
        <v>2232</v>
      </c>
      <c r="E207" t="s">
        <v>2233</v>
      </c>
      <c r="F207" t="s">
        <v>81</v>
      </c>
      <c r="G207" t="str">
        <f t="shared" si="9"/>
        <v>Bodegas Muga Seleccion Especial Reserva2019</v>
      </c>
      <c r="H207" t="str">
        <f t="shared" si="10"/>
        <v>Bodegas Muga Seleccion Especial Reserva2019</v>
      </c>
      <c r="I207">
        <f t="shared" si="11"/>
        <v>1</v>
      </c>
    </row>
    <row r="208" spans="1:9">
      <c r="A208" s="5" t="s">
        <v>1968</v>
      </c>
      <c r="B208" s="6" t="s">
        <v>2235</v>
      </c>
      <c r="C208" s="5" t="s">
        <v>92</v>
      </c>
      <c r="D208" t="s">
        <v>2234</v>
      </c>
      <c r="E208" t="s">
        <v>2235</v>
      </c>
      <c r="F208" t="s">
        <v>92</v>
      </c>
      <c r="G208" t="str">
        <f t="shared" si="9"/>
        <v>Xavier Vignon Châteauneuf-du-Pape 'Cuvee Anonyme'2020</v>
      </c>
      <c r="H208" t="str">
        <f t="shared" si="10"/>
        <v>Xavier Vignon Châteauneuf-du-Pape 'Cuvee Anonyme'2020</v>
      </c>
      <c r="I208">
        <f t="shared" si="11"/>
        <v>1</v>
      </c>
    </row>
    <row r="209" spans="1:9">
      <c r="A209" s="5" t="s">
        <v>1970</v>
      </c>
      <c r="B209" s="6" t="s">
        <v>2446</v>
      </c>
      <c r="C209" s="5" t="s">
        <v>172</v>
      </c>
      <c r="D209" t="s">
        <v>2236</v>
      </c>
      <c r="E209" t="s">
        <v>2152</v>
      </c>
      <c r="F209" t="s">
        <v>172</v>
      </c>
      <c r="G209" t="str">
        <f t="shared" si="9"/>
        <v>Avignonesi Capannelle 50&amp;50 Toscana IGT2012</v>
      </c>
      <c r="H209" t="str">
        <f t="shared" si="10"/>
        <v>Avignonesi Capannelle 50&amp;50 Toscana IGT2012</v>
      </c>
      <c r="I209">
        <f t="shared" si="11"/>
        <v>1</v>
      </c>
    </row>
    <row r="210" spans="1:9">
      <c r="A210" s="5" t="s">
        <v>1972</v>
      </c>
      <c r="B210" s="6" t="s">
        <v>2238</v>
      </c>
      <c r="C210" s="5" t="s">
        <v>114</v>
      </c>
      <c r="D210" t="s">
        <v>2237</v>
      </c>
      <c r="E210" t="s">
        <v>2238</v>
      </c>
      <c r="F210" t="s">
        <v>114</v>
      </c>
      <c r="G210" t="str">
        <f t="shared" si="9"/>
        <v>Domaine Arnoux-Lachaux Echézeaux 'Les Rouges' Grand Cru2014</v>
      </c>
      <c r="H210" t="str">
        <f t="shared" si="10"/>
        <v>Domaine Arnoux-Lachaux Echézeaux 'Les Rouges' Grand Cru2014</v>
      </c>
      <c r="I210">
        <f t="shared" si="11"/>
        <v>1</v>
      </c>
    </row>
    <row r="211" spans="1:9">
      <c r="A211" s="5" t="s">
        <v>1974</v>
      </c>
      <c r="B211" s="6" t="s">
        <v>2240</v>
      </c>
      <c r="C211" s="5" t="s">
        <v>133</v>
      </c>
      <c r="D211" t="s">
        <v>2239</v>
      </c>
      <c r="E211" t="s">
        <v>2240</v>
      </c>
      <c r="F211" t="s">
        <v>133</v>
      </c>
      <c r="G211" t="str">
        <f t="shared" si="9"/>
        <v>Domaine Auguste Clape Cornas2007</v>
      </c>
      <c r="H211" t="str">
        <f t="shared" si="10"/>
        <v>Domaine Auguste Clape Cornas2007</v>
      </c>
      <c r="I211">
        <f t="shared" si="11"/>
        <v>1</v>
      </c>
    </row>
    <row r="212" spans="1:9">
      <c r="A212" s="5" t="s">
        <v>1975</v>
      </c>
      <c r="B212" s="6" t="s">
        <v>2242</v>
      </c>
      <c r="C212" s="5" t="s">
        <v>139</v>
      </c>
      <c r="D212" t="s">
        <v>2241</v>
      </c>
      <c r="E212" t="s">
        <v>2242</v>
      </c>
      <c r="F212" t="s">
        <v>139</v>
      </c>
      <c r="G212" t="str">
        <f t="shared" si="9"/>
        <v>Casanova di Neri 'Tenuta Nuova' Brunello di Montalcino DOCG2010</v>
      </c>
      <c r="H212" t="str">
        <f t="shared" si="10"/>
        <v>Casanova di Neri 'Tenuta Nuova' Brunello di Montalcino DOCG2010</v>
      </c>
      <c r="I212">
        <f t="shared" si="11"/>
        <v>1</v>
      </c>
    </row>
    <row r="213" spans="1:9">
      <c r="A213" s="5" t="s">
        <v>1977</v>
      </c>
      <c r="B213" s="6" t="s">
        <v>2105</v>
      </c>
      <c r="C213" s="5" t="s">
        <v>118</v>
      </c>
      <c r="D213" t="s">
        <v>2243</v>
      </c>
      <c r="E213" t="s">
        <v>2105</v>
      </c>
      <c r="F213" t="s">
        <v>118</v>
      </c>
      <c r="G213" t="str">
        <f t="shared" si="9"/>
        <v>Château Cantemerle2018</v>
      </c>
      <c r="H213" t="str">
        <f t="shared" si="10"/>
        <v>Château Cantemerle2018</v>
      </c>
      <c r="I213">
        <f t="shared" si="11"/>
        <v>1</v>
      </c>
    </row>
    <row r="214" spans="1:9">
      <c r="A214" s="5" t="s">
        <v>1979</v>
      </c>
      <c r="B214" s="7" t="s">
        <v>2245</v>
      </c>
      <c r="C214" s="5" t="s">
        <v>713</v>
      </c>
      <c r="D214" t="s">
        <v>2244</v>
      </c>
      <c r="E214" t="s">
        <v>2245</v>
      </c>
      <c r="F214" t="s">
        <v>713</v>
      </c>
      <c r="G214" t="str">
        <f t="shared" si="9"/>
        <v>Château Clos de Sarpe2000</v>
      </c>
      <c r="H214" t="str">
        <f t="shared" si="10"/>
        <v>Château Clos de Sarpe2000</v>
      </c>
      <c r="I214">
        <f t="shared" si="11"/>
        <v>1</v>
      </c>
    </row>
    <row r="215" spans="1:9">
      <c r="A215" s="5" t="s">
        <v>1981</v>
      </c>
      <c r="B215" s="6" t="s">
        <v>866</v>
      </c>
      <c r="C215" s="5" t="s">
        <v>114</v>
      </c>
      <c r="D215" t="s">
        <v>2246</v>
      </c>
      <c r="E215" t="s">
        <v>866</v>
      </c>
      <c r="F215" t="s">
        <v>114</v>
      </c>
      <c r="G215" t="str">
        <f t="shared" si="9"/>
        <v>Château Lagrange2014</v>
      </c>
      <c r="H215" t="str">
        <f t="shared" si="10"/>
        <v>Château Lagrange2014</v>
      </c>
      <c r="I215">
        <f t="shared" si="11"/>
        <v>1</v>
      </c>
    </row>
    <row r="216" spans="1:9">
      <c r="A216" s="5" t="s">
        <v>1983</v>
      </c>
      <c r="B216" s="7" t="s">
        <v>2248</v>
      </c>
      <c r="C216" s="5" t="s">
        <v>118</v>
      </c>
      <c r="D216" t="s">
        <v>2247</v>
      </c>
      <c r="E216" t="s">
        <v>2248</v>
      </c>
      <c r="F216" t="s">
        <v>118</v>
      </c>
      <c r="G216" t="str">
        <f t="shared" si="9"/>
        <v>Château Valandraud 'Virginie de Valandraud'2018</v>
      </c>
      <c r="H216" t="str">
        <f t="shared" si="10"/>
        <v>Château Valandraud 'Virginie de Valandraud'2018</v>
      </c>
      <c r="I216">
        <f t="shared" si="11"/>
        <v>1</v>
      </c>
    </row>
    <row r="217" spans="1:9">
      <c r="A217" s="5" t="s">
        <v>1985</v>
      </c>
      <c r="B217" s="6" t="s">
        <v>2250</v>
      </c>
      <c r="C217" s="5" t="s">
        <v>273</v>
      </c>
      <c r="D217" t="s">
        <v>2249</v>
      </c>
      <c r="E217" t="s">
        <v>2250</v>
      </c>
      <c r="F217" t="s">
        <v>273</v>
      </c>
      <c r="G217" t="str">
        <f t="shared" si="9"/>
        <v>Cullen Diana Madeline2005</v>
      </c>
      <c r="H217" t="str">
        <f t="shared" si="10"/>
        <v>Cullen Diana Madeline2005</v>
      </c>
      <c r="I217">
        <f t="shared" si="11"/>
        <v>1</v>
      </c>
    </row>
    <row r="218" spans="1:9">
      <c r="A218" s="5" t="s">
        <v>1988</v>
      </c>
      <c r="B218" s="6" t="s">
        <v>2252</v>
      </c>
      <c r="C218" s="5" t="s">
        <v>239</v>
      </c>
      <c r="D218" t="s">
        <v>2251</v>
      </c>
      <c r="E218" t="s">
        <v>2252</v>
      </c>
      <c r="F218" t="s">
        <v>239</v>
      </c>
      <c r="G218" t="str">
        <f t="shared" si="9"/>
        <v>Domaine Arnoux-Lachaux Latricieres-Chambertin Grand Cru2011</v>
      </c>
      <c r="H218" t="str">
        <f t="shared" si="10"/>
        <v>Domaine Arnoux-Lachaux Latricieres-Chambertin Grand Cru2011</v>
      </c>
      <c r="I218">
        <f t="shared" si="11"/>
        <v>1</v>
      </c>
    </row>
    <row r="219" spans="1:9">
      <c r="A219" s="5" t="s">
        <v>1990</v>
      </c>
      <c r="B219" s="6" t="s">
        <v>2254</v>
      </c>
      <c r="C219" s="5" t="s">
        <v>81</v>
      </c>
      <c r="D219" t="s">
        <v>2253</v>
      </c>
      <c r="E219" t="s">
        <v>2254</v>
      </c>
      <c r="F219" t="s">
        <v>81</v>
      </c>
      <c r="G219" t="str">
        <f t="shared" si="9"/>
        <v>Domaine Fourrier Vougeots 'Les Petits Vougeots' Vieilles Vignes Premier Cru2019</v>
      </c>
      <c r="H219" t="str">
        <f t="shared" si="10"/>
        <v>Domaine Fourrier Vougeots 'Les Petits Vougeots' Vieilles Vignes Premier Cru2019</v>
      </c>
      <c r="I219">
        <f t="shared" si="11"/>
        <v>1</v>
      </c>
    </row>
    <row r="220" spans="1:9">
      <c r="A220" s="5" t="s">
        <v>1992</v>
      </c>
      <c r="B220" s="6" t="s">
        <v>2256</v>
      </c>
      <c r="C220" s="5" t="s">
        <v>129</v>
      </c>
      <c r="D220" t="s">
        <v>2255</v>
      </c>
      <c r="E220" t="s">
        <v>2256</v>
      </c>
      <c r="F220" t="s">
        <v>129</v>
      </c>
      <c r="G220" t="str">
        <f t="shared" si="9"/>
        <v>Domaine Prieure Roch Vosne-Romanee 'Les Clous'2016</v>
      </c>
      <c r="H220" t="str">
        <f t="shared" si="10"/>
        <v>Domaine Prieure Roch Vosne-Romanee 'Les Clous'2016</v>
      </c>
      <c r="I220">
        <f t="shared" si="11"/>
        <v>1</v>
      </c>
    </row>
    <row r="221" spans="1:9">
      <c r="A221" s="5" t="s">
        <v>1994</v>
      </c>
      <c r="B221" s="6" t="s">
        <v>2258</v>
      </c>
      <c r="C221" s="5" t="s">
        <v>133</v>
      </c>
      <c r="D221" t="s">
        <v>2257</v>
      </c>
      <c r="E221" t="s">
        <v>2258</v>
      </c>
      <c r="F221" t="s">
        <v>133</v>
      </c>
      <c r="G221" t="str">
        <f t="shared" si="9"/>
        <v>Domaine Raymond Usseglio &amp; Fils Châteauneuf-du-Pape 'Cuvée Impériale'2007</v>
      </c>
      <c r="H221" t="str">
        <f t="shared" si="10"/>
        <v>Domaine Raymond Usseglio &amp; Fils Châteauneuf-du-Pape 'Cuvée Impériale'2007</v>
      </c>
      <c r="I221">
        <f t="shared" si="11"/>
        <v>1</v>
      </c>
    </row>
    <row r="222" spans="1:9">
      <c r="A222" s="5" t="s">
        <v>1996</v>
      </c>
      <c r="B222" s="6" t="s">
        <v>2260</v>
      </c>
      <c r="C222" s="5" t="s">
        <v>56</v>
      </c>
      <c r="D222" t="s">
        <v>2259</v>
      </c>
      <c r="E222" t="s">
        <v>2260</v>
      </c>
      <c r="F222" t="s">
        <v>56</v>
      </c>
      <c r="G222" t="str">
        <f t="shared" si="9"/>
        <v>Domaine Tortochot Bourgogne 'Cuvée Fine Sélection' Pinot Noir2021</v>
      </c>
      <c r="H222" t="str">
        <f t="shared" si="10"/>
        <v>Domaine Tortochot Bourgogne 'Cuvée Fine Sélection' Pinot Noir2021</v>
      </c>
      <c r="I222">
        <f t="shared" si="11"/>
        <v>1</v>
      </c>
    </row>
    <row r="223" spans="1:9">
      <c r="A223" s="5" t="s">
        <v>1998</v>
      </c>
      <c r="B223" s="6" t="s">
        <v>2262</v>
      </c>
      <c r="C223" s="5" t="s">
        <v>56</v>
      </c>
      <c r="D223" t="s">
        <v>2261</v>
      </c>
      <c r="E223" t="s">
        <v>2262</v>
      </c>
      <c r="F223" t="s">
        <v>56</v>
      </c>
      <c r="G223" t="str">
        <f t="shared" si="9"/>
        <v>Domaine Tortochot Clos-de-Vougeot Grand Cru2021</v>
      </c>
      <c r="H223" t="str">
        <f t="shared" si="10"/>
        <v>Domaine Tortochot Clos-de-Vougeot Grand Cru2021</v>
      </c>
      <c r="I223">
        <f t="shared" si="11"/>
        <v>1</v>
      </c>
    </row>
    <row r="224" spans="1:9">
      <c r="A224" s="5" t="s">
        <v>2000</v>
      </c>
      <c r="B224" s="6" t="s">
        <v>2264</v>
      </c>
      <c r="C224" s="5" t="s">
        <v>118</v>
      </c>
      <c r="D224" t="s">
        <v>2263</v>
      </c>
      <c r="E224" t="s">
        <v>2264</v>
      </c>
      <c r="F224" t="s">
        <v>118</v>
      </c>
      <c r="G224" t="str">
        <f t="shared" si="9"/>
        <v>Domaine Virginie Thunevin2018</v>
      </c>
      <c r="H224" t="str">
        <f t="shared" si="10"/>
        <v>Domaine Virginie Thunevin2018</v>
      </c>
      <c r="I224">
        <f t="shared" si="11"/>
        <v>1</v>
      </c>
    </row>
    <row r="225" spans="1:9">
      <c r="A225" s="5" t="s">
        <v>2002</v>
      </c>
      <c r="B225" s="6" t="s">
        <v>466</v>
      </c>
      <c r="C225" s="5" t="s">
        <v>129</v>
      </c>
      <c r="D225" t="s">
        <v>2265</v>
      </c>
      <c r="E225" t="s">
        <v>466</v>
      </c>
      <c r="F225" t="s">
        <v>129</v>
      </c>
      <c r="G225" t="str">
        <f t="shared" si="9"/>
        <v>Domaine Dugat-Py Gevrey-Chambertin 'Petite Chapelle' Premier Cru2016</v>
      </c>
      <c r="H225" t="str">
        <f t="shared" si="10"/>
        <v>Domaine Dugat-Py Gevrey-Chambertin 'Petite Chapelle' Premier Cru2016</v>
      </c>
      <c r="I225">
        <f t="shared" si="11"/>
        <v>1</v>
      </c>
    </row>
    <row r="226" spans="1:9">
      <c r="A226" s="5" t="s">
        <v>2004</v>
      </c>
      <c r="B226" s="6" t="s">
        <v>2160</v>
      </c>
      <c r="C226" s="5" t="s">
        <v>56</v>
      </c>
      <c r="D226" t="s">
        <v>2266</v>
      </c>
      <c r="E226" t="s">
        <v>2160</v>
      </c>
      <c r="F226" t="s">
        <v>56</v>
      </c>
      <c r="G226" t="str">
        <f t="shared" si="9"/>
        <v>Dujac Pere et Fils Chambolle-Musigny2021</v>
      </c>
      <c r="H226" t="str">
        <f t="shared" si="10"/>
        <v>Dujac Pere et Fils Chambolle-Musigny2021</v>
      </c>
      <c r="I226">
        <f t="shared" si="11"/>
        <v>1</v>
      </c>
    </row>
    <row r="227" spans="1:9">
      <c r="A227" s="5" t="s">
        <v>2006</v>
      </c>
      <c r="B227" s="6" t="s">
        <v>2268</v>
      </c>
      <c r="C227" s="5" t="s">
        <v>133</v>
      </c>
      <c r="D227" t="s">
        <v>2267</v>
      </c>
      <c r="E227" t="s">
        <v>2268</v>
      </c>
      <c r="F227" t="s">
        <v>133</v>
      </c>
      <c r="G227" t="str">
        <f t="shared" si="9"/>
        <v>E. Guigal Cote Rotie 'La Turque'2007</v>
      </c>
      <c r="H227" t="str">
        <f t="shared" si="10"/>
        <v>E. Guigal Cote Rotie 'La Turque'2007</v>
      </c>
      <c r="I227">
        <f t="shared" si="11"/>
        <v>1</v>
      </c>
    </row>
    <row r="228" spans="1:9">
      <c r="A228" s="5" t="s">
        <v>2008</v>
      </c>
      <c r="B228" s="6" t="s">
        <v>2270</v>
      </c>
      <c r="C228" s="5" t="s">
        <v>137</v>
      </c>
      <c r="D228" t="s">
        <v>2269</v>
      </c>
      <c r="E228" t="s">
        <v>2270</v>
      </c>
      <c r="F228" t="s">
        <v>137</v>
      </c>
      <c r="G228" t="str">
        <f t="shared" si="9"/>
        <v>Gaja Barbaresco DOCG2017</v>
      </c>
      <c r="H228" t="str">
        <f t="shared" si="10"/>
        <v>Gaja Barbaresco DOCG2017</v>
      </c>
      <c r="I228">
        <f t="shared" si="11"/>
        <v>1</v>
      </c>
    </row>
    <row r="229" spans="1:9">
      <c r="A229" s="5" t="s">
        <v>2010</v>
      </c>
      <c r="B229" s="6" t="s">
        <v>2272</v>
      </c>
      <c r="C229" s="5" t="s">
        <v>56</v>
      </c>
      <c r="D229" t="s">
        <v>2271</v>
      </c>
      <c r="E229" t="s">
        <v>2272</v>
      </c>
      <c r="F229" t="s">
        <v>56</v>
      </c>
      <c r="G229" t="str">
        <f t="shared" si="9"/>
        <v>John Duval Wines 'Entity' Shiraz2021</v>
      </c>
      <c r="H229" t="str">
        <f t="shared" si="10"/>
        <v>John Duval Wines 'Entity' Shiraz2021</v>
      </c>
      <c r="I229">
        <f t="shared" si="11"/>
        <v>1</v>
      </c>
    </row>
    <row r="230" spans="1:9">
      <c r="A230" s="5" t="s">
        <v>2012</v>
      </c>
      <c r="B230" s="6" t="s">
        <v>2274</v>
      </c>
      <c r="C230" s="5" t="s">
        <v>118</v>
      </c>
      <c r="D230" t="s">
        <v>2273</v>
      </c>
      <c r="E230" t="s">
        <v>2274</v>
      </c>
      <c r="F230" t="s">
        <v>118</v>
      </c>
      <c r="G230" t="str">
        <f t="shared" si="9"/>
        <v>Maison Leroy Bourgogne Rouge2018</v>
      </c>
      <c r="H230" t="str">
        <f t="shared" si="10"/>
        <v>Maison Leroy Bourgogne Rouge2018</v>
      </c>
      <c r="I230">
        <f t="shared" si="11"/>
        <v>1</v>
      </c>
    </row>
    <row r="231" spans="1:9">
      <c r="A231" s="5" t="s">
        <v>2014</v>
      </c>
      <c r="B231" s="6" t="s">
        <v>2276</v>
      </c>
      <c r="C231" s="5" t="s">
        <v>222</v>
      </c>
      <c r="D231" t="s">
        <v>2275</v>
      </c>
      <c r="E231" t="s">
        <v>2276</v>
      </c>
      <c r="F231" t="s">
        <v>222</v>
      </c>
      <c r="G231" t="str">
        <f t="shared" si="9"/>
        <v>Maison Leroy Monthelie Rouge2015</v>
      </c>
      <c r="H231" t="str">
        <f t="shared" si="10"/>
        <v>Maison Leroy Monthelie Rouge2015</v>
      </c>
      <c r="I231">
        <f t="shared" si="11"/>
        <v>1</v>
      </c>
    </row>
    <row r="232" spans="1:9">
      <c r="A232" s="5" t="s">
        <v>2016</v>
      </c>
      <c r="B232" s="6" t="s">
        <v>2278</v>
      </c>
      <c r="C232" s="5" t="s">
        <v>81</v>
      </c>
      <c r="D232" t="s">
        <v>2277</v>
      </c>
      <c r="E232" t="s">
        <v>2278</v>
      </c>
      <c r="F232" t="s">
        <v>81</v>
      </c>
      <c r="G232" t="str">
        <f t="shared" si="9"/>
        <v>Luciano Sandrone 'Le Vigne' Barolo DOCG2019</v>
      </c>
      <c r="H232" t="str">
        <f t="shared" si="10"/>
        <v>Luciano Sandrone 'Le Vigne' Barolo DOCG2019</v>
      </c>
      <c r="I232">
        <f t="shared" si="11"/>
        <v>1</v>
      </c>
    </row>
    <row r="233" spans="1:9">
      <c r="A233" s="5" t="s">
        <v>2018</v>
      </c>
      <c r="B233" s="6" t="s">
        <v>2280</v>
      </c>
      <c r="C233" s="5" t="s">
        <v>139</v>
      </c>
      <c r="D233" t="s">
        <v>2279</v>
      </c>
      <c r="E233" t="s">
        <v>2280</v>
      </c>
      <c r="F233" t="s">
        <v>139</v>
      </c>
      <c r="G233" t="str">
        <f t="shared" si="9"/>
        <v>Tua Rita Redigaffi Toscana IGT2010</v>
      </c>
      <c r="H233" t="str">
        <f t="shared" si="10"/>
        <v>Tua Rita Redigaffi Toscana IGT2010</v>
      </c>
      <c r="I233">
        <f t="shared" si="11"/>
        <v>1</v>
      </c>
    </row>
    <row r="234" spans="1:9">
      <c r="A234" s="5" t="s">
        <v>2020</v>
      </c>
      <c r="B234" s="6" t="s">
        <v>2282</v>
      </c>
      <c r="C234" s="5" t="s">
        <v>81</v>
      </c>
      <c r="D234" t="s">
        <v>2281</v>
      </c>
      <c r="E234" t="s">
        <v>2282</v>
      </c>
      <c r="F234" t="s">
        <v>81</v>
      </c>
      <c r="G234" t="str">
        <f t="shared" si="9"/>
        <v>Xavier Vignon Gigondas2019</v>
      </c>
      <c r="H234" t="str">
        <f t="shared" si="10"/>
        <v>Xavier Vignon Gigondas2019</v>
      </c>
      <c r="I234">
        <f t="shared" si="11"/>
        <v>1</v>
      </c>
    </row>
    <row r="235" spans="1:9">
      <c r="A235" s="5" t="s">
        <v>2022</v>
      </c>
      <c r="B235" s="6" t="s">
        <v>2284</v>
      </c>
      <c r="C235" s="5" t="s">
        <v>137</v>
      </c>
      <c r="D235" t="s">
        <v>2283</v>
      </c>
      <c r="E235" t="s">
        <v>2284</v>
      </c>
      <c r="F235" t="s">
        <v>137</v>
      </c>
      <c r="G235" t="str">
        <f t="shared" si="9"/>
        <v>Château Subilaux2017</v>
      </c>
      <c r="H235" t="str">
        <f t="shared" si="10"/>
        <v>Château Subilaux2017</v>
      </c>
      <c r="I235">
        <f t="shared" si="11"/>
        <v>1</v>
      </c>
    </row>
    <row r="236" spans="1:9">
      <c r="A236" s="5" t="s">
        <v>2024</v>
      </c>
      <c r="B236" s="7" t="s">
        <v>2055</v>
      </c>
      <c r="C236" s="5" t="s">
        <v>81</v>
      </c>
      <c r="D236" t="s">
        <v>2285</v>
      </c>
      <c r="E236" t="s">
        <v>2055</v>
      </c>
      <c r="F236" t="s">
        <v>81</v>
      </c>
      <c r="G236" t="str">
        <f t="shared" si="9"/>
        <v>Château La Gaffeliere 'Clos La Gaffeliere'2019</v>
      </c>
      <c r="H236" t="str">
        <f t="shared" si="10"/>
        <v>Château La Gaffeliere 'Clos La Gaffeliere'2019</v>
      </c>
      <c r="I236">
        <f t="shared" si="11"/>
        <v>1</v>
      </c>
    </row>
    <row r="237" spans="1:9">
      <c r="A237" s="5" t="s">
        <v>2026</v>
      </c>
      <c r="B237" s="6" t="s">
        <v>2287</v>
      </c>
      <c r="C237" s="5" t="s">
        <v>144</v>
      </c>
      <c r="D237" t="s">
        <v>2286</v>
      </c>
      <c r="E237" t="s">
        <v>2287</v>
      </c>
      <c r="F237" t="s">
        <v>144</v>
      </c>
      <c r="G237" t="str">
        <f t="shared" si="9"/>
        <v>Andre Clouet Brut Rosé Grand Cru (NO. 3)NV</v>
      </c>
      <c r="H237" t="str">
        <f t="shared" si="10"/>
        <v>Andre Clouet Brut Rosé Grand Cru (NO. 3)NV</v>
      </c>
      <c r="I237">
        <f t="shared" si="11"/>
        <v>1</v>
      </c>
    </row>
    <row r="238" spans="1:9">
      <c r="A238" s="5" t="s">
        <v>2028</v>
      </c>
      <c r="B238" s="6" t="s">
        <v>2289</v>
      </c>
      <c r="C238" s="5" t="s">
        <v>114</v>
      </c>
      <c r="D238" t="s">
        <v>2288</v>
      </c>
      <c r="E238" t="s">
        <v>2289</v>
      </c>
      <c r="F238" t="s">
        <v>114</v>
      </c>
      <c r="G238" t="str">
        <f t="shared" si="9"/>
        <v>Perrier-Jouët Belle Époque - Fleur de Champagne Brut Rosé Millesime2014</v>
      </c>
      <c r="H238" t="str">
        <f t="shared" si="10"/>
        <v>Perrier-Jouët Belle Époque - Fleur de Champagne Brut Rosé Millesime2014</v>
      </c>
      <c r="I238">
        <f t="shared" si="11"/>
        <v>1</v>
      </c>
    </row>
    <row r="239" spans="1:9">
      <c r="A239" s="5" t="s">
        <v>2046</v>
      </c>
      <c r="B239" s="6" t="s">
        <v>2291</v>
      </c>
      <c r="C239" s="5" t="s">
        <v>144</v>
      </c>
      <c r="D239" t="s">
        <v>2290</v>
      </c>
      <c r="E239" t="s">
        <v>2291</v>
      </c>
      <c r="F239" t="s">
        <v>144</v>
      </c>
      <c r="G239" t="str">
        <f t="shared" si="9"/>
        <v>Parés Baltà Brut CavaNV</v>
      </c>
      <c r="H239" t="str">
        <f t="shared" si="10"/>
        <v>Parés Baltà Brut CavaNV</v>
      </c>
      <c r="I239">
        <f t="shared" si="11"/>
        <v>1</v>
      </c>
    </row>
    <row r="240" spans="1:9">
      <c r="A240" s="5" t="s">
        <v>2048</v>
      </c>
      <c r="B240" s="6" t="s">
        <v>2449</v>
      </c>
      <c r="C240" s="5" t="s">
        <v>144</v>
      </c>
      <c r="D240" t="s">
        <v>2292</v>
      </c>
      <c r="E240" t="s">
        <v>2293</v>
      </c>
      <c r="F240" t="s">
        <v>144</v>
      </c>
      <c r="G240" t="str">
        <f t="shared" si="9"/>
        <v>Bad Girl Cremant Blanc NVNV</v>
      </c>
      <c r="H240" t="str">
        <f t="shared" si="10"/>
        <v>Bad Girl Cremant Blanc NVNV</v>
      </c>
      <c r="I240">
        <f t="shared" si="11"/>
        <v>1</v>
      </c>
    </row>
    <row r="241" spans="1:9">
      <c r="A241" s="5" t="s">
        <v>2050</v>
      </c>
      <c r="B241" s="6" t="s">
        <v>2295</v>
      </c>
      <c r="C241" s="5" t="s">
        <v>92</v>
      </c>
      <c r="D241" t="s">
        <v>2294</v>
      </c>
      <c r="E241" t="s">
        <v>2295</v>
      </c>
      <c r="F241" t="s">
        <v>92</v>
      </c>
      <c r="G241" t="str">
        <f t="shared" si="9"/>
        <v>Bruno Giacosa Spumante Metodo Classico Extra Brut2020</v>
      </c>
      <c r="H241" t="str">
        <f t="shared" si="10"/>
        <v>Bruno Giacosa Spumante Metodo Classico Extra Brut2020</v>
      </c>
      <c r="I241">
        <f t="shared" si="11"/>
        <v>1</v>
      </c>
    </row>
    <row r="242" spans="1:9">
      <c r="A242" s="5" t="s">
        <v>2052</v>
      </c>
      <c r="B242" s="6" t="s">
        <v>2297</v>
      </c>
      <c r="C242" s="5" t="s">
        <v>144</v>
      </c>
      <c r="D242" t="s">
        <v>2296</v>
      </c>
      <c r="E242" t="s">
        <v>2297</v>
      </c>
      <c r="F242" t="s">
        <v>144</v>
      </c>
      <c r="G242" t="str">
        <f t="shared" si="9"/>
        <v>Leon Galhaud Demi-Sec Sparkling Red NV</v>
      </c>
      <c r="H242" t="str">
        <f t="shared" si="10"/>
        <v>Leon Galhaud Demi-Sec Sparkling Red NV</v>
      </c>
      <c r="I242">
        <f t="shared" si="11"/>
        <v>1</v>
      </c>
    </row>
    <row r="243" spans="1:9">
      <c r="A243" s="5" t="s">
        <v>2054</v>
      </c>
      <c r="B243" s="6" t="s">
        <v>2295</v>
      </c>
      <c r="C243" s="5" t="s">
        <v>137</v>
      </c>
      <c r="D243" t="s">
        <v>2298</v>
      </c>
      <c r="E243" t="s">
        <v>2295</v>
      </c>
      <c r="F243" t="s">
        <v>137</v>
      </c>
      <c r="G243" t="str">
        <f t="shared" si="9"/>
        <v>Bruno Giacosa Spumante Metodo Classico Extra Brut2017</v>
      </c>
      <c r="H243" t="str">
        <f t="shared" si="10"/>
        <v>Bruno Giacosa Spumante Metodo Classico Extra Brut2017</v>
      </c>
      <c r="I243">
        <f t="shared" si="11"/>
        <v>1</v>
      </c>
    </row>
    <row r="244" spans="1:9">
      <c r="A244" s="5" t="s">
        <v>2073</v>
      </c>
      <c r="B244" s="6" t="s">
        <v>2300</v>
      </c>
      <c r="C244" s="5" t="s">
        <v>129</v>
      </c>
      <c r="D244" t="s">
        <v>2299</v>
      </c>
      <c r="E244" t="s">
        <v>2300</v>
      </c>
      <c r="F244" t="s">
        <v>129</v>
      </c>
      <c r="G244" t="str">
        <f t="shared" si="9"/>
        <v>Château Vari2016</v>
      </c>
      <c r="H244" t="str">
        <f t="shared" si="10"/>
        <v>Château Vari2016</v>
      </c>
      <c r="I244">
        <f t="shared" si="11"/>
        <v>1</v>
      </c>
    </row>
    <row r="245" spans="1:9">
      <c r="A245" s="5" t="s">
        <v>2075</v>
      </c>
      <c r="B245" s="6" t="s">
        <v>2302</v>
      </c>
      <c r="C245" s="5" t="s">
        <v>118</v>
      </c>
      <c r="D245" t="s">
        <v>2301</v>
      </c>
      <c r="E245" t="s">
        <v>2302</v>
      </c>
      <c r="F245" t="s">
        <v>118</v>
      </c>
      <c r="G245" t="str">
        <f t="shared" si="9"/>
        <v>Marie-Therese Chappaz Grain Noble Marsanne Blanche2018</v>
      </c>
      <c r="H245" t="str">
        <f t="shared" si="10"/>
        <v>Marie-Therese Chappaz Grain Noble Marsanne Blanche2018</v>
      </c>
      <c r="I245">
        <f t="shared" si="11"/>
        <v>1</v>
      </c>
    </row>
    <row r="246" spans="1:9">
      <c r="A246" s="5" t="s">
        <v>2119</v>
      </c>
      <c r="B246" s="6" t="s">
        <v>2304</v>
      </c>
      <c r="C246" s="5" t="s">
        <v>30</v>
      </c>
      <c r="D246" t="s">
        <v>2303</v>
      </c>
      <c r="E246" t="s">
        <v>2304</v>
      </c>
      <c r="F246" t="s">
        <v>30</v>
      </c>
      <c r="G246" t="str">
        <f t="shared" si="9"/>
        <v>Domaine Daniel-Etienne Defaix Chablis 'Vieilles Vignes'2022</v>
      </c>
      <c r="H246" t="str">
        <f t="shared" si="10"/>
        <v>Domaine Daniel-Etienne Defaix Chablis 'Vieilles Vignes'2022</v>
      </c>
      <c r="I246">
        <f t="shared" si="11"/>
        <v>1</v>
      </c>
    </row>
    <row r="247" spans="1:9">
      <c r="A247" s="5" t="s">
        <v>2121</v>
      </c>
      <c r="B247" s="6" t="s">
        <v>2306</v>
      </c>
      <c r="C247" s="5" t="s">
        <v>289</v>
      </c>
      <c r="D247" t="s">
        <v>2305</v>
      </c>
      <c r="E247" t="s">
        <v>2306</v>
      </c>
      <c r="F247" t="s">
        <v>289</v>
      </c>
      <c r="G247" t="str">
        <f t="shared" si="9"/>
        <v>Defaix Frères Chablis2023</v>
      </c>
      <c r="H247" t="str">
        <f t="shared" si="10"/>
        <v>Defaix Frères Chablis2023</v>
      </c>
      <c r="I247">
        <f t="shared" si="11"/>
        <v>1</v>
      </c>
    </row>
    <row r="248" spans="1:9">
      <c r="A248" s="5" t="s">
        <v>2123</v>
      </c>
      <c r="B248" s="6" t="s">
        <v>2308</v>
      </c>
      <c r="C248" s="5" t="s">
        <v>30</v>
      </c>
      <c r="D248" t="s">
        <v>2307</v>
      </c>
      <c r="E248" t="s">
        <v>2308</v>
      </c>
      <c r="F248" t="s">
        <v>30</v>
      </c>
      <c r="G248" t="str">
        <f t="shared" si="9"/>
        <v>AJ Vaona Bourgogne Chardonnay 2022</v>
      </c>
      <c r="H248" t="str">
        <f t="shared" si="10"/>
        <v>AJ Vaona Bourgogne Chardonnay 2022</v>
      </c>
      <c r="I248">
        <f t="shared" si="11"/>
        <v>1</v>
      </c>
    </row>
    <row r="249" spans="1:9">
      <c r="A249" s="5" t="s">
        <v>2125</v>
      </c>
      <c r="B249" s="6" t="s">
        <v>2310</v>
      </c>
      <c r="C249" s="5" t="s">
        <v>1537</v>
      </c>
      <c r="D249" t="s">
        <v>2309</v>
      </c>
      <c r="E249" t="s">
        <v>2310</v>
      </c>
      <c r="F249" t="s">
        <v>1537</v>
      </c>
      <c r="G249" t="str">
        <f t="shared" si="9"/>
        <v>Bruno Giacosa Roero Arneis DOCG2024</v>
      </c>
      <c r="H249" t="str">
        <f t="shared" si="10"/>
        <v>Bruno Giacosa Roero Arneis DOCG2024</v>
      </c>
      <c r="I249">
        <f t="shared" si="11"/>
        <v>1</v>
      </c>
    </row>
    <row r="250" spans="1:9">
      <c r="A250" s="5" t="s">
        <v>2126</v>
      </c>
      <c r="B250" s="6" t="s">
        <v>2312</v>
      </c>
      <c r="C250" s="5" t="s">
        <v>111</v>
      </c>
      <c r="D250" t="s">
        <v>2311</v>
      </c>
      <c r="E250" t="s">
        <v>2312</v>
      </c>
      <c r="F250" t="s">
        <v>111</v>
      </c>
      <c r="G250" t="str">
        <f t="shared" si="9"/>
        <v>Domaine Daniel-Etienne Defaix Chablis 'Vaillon' Premier Cru2013</v>
      </c>
      <c r="H250" t="str">
        <f t="shared" si="10"/>
        <v>Domaine Daniel-Etienne Defaix Chablis 'Vaillon' Premier Cru2013</v>
      </c>
      <c r="I250">
        <f t="shared" si="11"/>
        <v>1</v>
      </c>
    </row>
    <row r="251" spans="1:9">
      <c r="A251" s="5" t="s">
        <v>2128</v>
      </c>
      <c r="B251" s="6" t="s">
        <v>2314</v>
      </c>
      <c r="C251" s="5" t="s">
        <v>289</v>
      </c>
      <c r="D251" t="s">
        <v>2313</v>
      </c>
      <c r="E251" t="s">
        <v>2314</v>
      </c>
      <c r="F251" t="s">
        <v>289</v>
      </c>
      <c r="G251" t="str">
        <f t="shared" si="9"/>
        <v>Defaix Frères Chablis 'Cote de Lechet' Premier Cru2023</v>
      </c>
      <c r="H251" t="str">
        <f t="shared" si="10"/>
        <v>Defaix Frères Chablis 'Cote de Lechet' Premier Cru2023</v>
      </c>
      <c r="I251">
        <f t="shared" si="11"/>
        <v>1</v>
      </c>
    </row>
    <row r="252" spans="1:9">
      <c r="A252" s="5" t="s">
        <v>2129</v>
      </c>
      <c r="B252" s="6" t="s">
        <v>2316</v>
      </c>
      <c r="C252" s="5" t="s">
        <v>289</v>
      </c>
      <c r="D252" t="s">
        <v>2315</v>
      </c>
      <c r="E252" t="s">
        <v>2316</v>
      </c>
      <c r="F252" t="s">
        <v>289</v>
      </c>
      <c r="G252" t="str">
        <f t="shared" si="9"/>
        <v>Defaix Frères Chablis 'Les Vaillons' Premier Cru2023</v>
      </c>
      <c r="H252" t="str">
        <f t="shared" si="10"/>
        <v>Defaix Frères Chablis 'Les Vaillons' Premier Cru2023</v>
      </c>
      <c r="I252">
        <f t="shared" si="11"/>
        <v>1</v>
      </c>
    </row>
    <row r="253" spans="1:9">
      <c r="A253" s="5" t="s">
        <v>2131</v>
      </c>
      <c r="B253" s="6" t="s">
        <v>2318</v>
      </c>
      <c r="C253" s="5" t="s">
        <v>289</v>
      </c>
      <c r="D253" t="s">
        <v>2317</v>
      </c>
      <c r="E253" t="s">
        <v>2318</v>
      </c>
      <c r="F253" t="s">
        <v>289</v>
      </c>
      <c r="G253" t="str">
        <f t="shared" si="9"/>
        <v>Château Lafont-Fourcat Blanc2023</v>
      </c>
      <c r="H253" t="str">
        <f t="shared" si="10"/>
        <v>Château Lafont-Fourcat Blanc2023</v>
      </c>
      <c r="I253">
        <f t="shared" si="11"/>
        <v>1</v>
      </c>
    </row>
    <row r="254" spans="1:9">
      <c r="A254" s="5" t="s">
        <v>2133</v>
      </c>
      <c r="B254" s="6" t="s">
        <v>2320</v>
      </c>
      <c r="C254" s="5" t="s">
        <v>114</v>
      </c>
      <c r="D254" t="s">
        <v>2319</v>
      </c>
      <c r="E254" t="s">
        <v>2320</v>
      </c>
      <c r="F254" t="s">
        <v>114</v>
      </c>
      <c r="G254" t="str">
        <f t="shared" si="9"/>
        <v>Domaine Daniel-Etienne Defaix Chablis 'Les Lys' Premier Cru2014</v>
      </c>
      <c r="H254" t="str">
        <f t="shared" si="10"/>
        <v>Domaine Daniel-Etienne Defaix Chablis 'Les Lys' Premier Cru2014</v>
      </c>
      <c r="I254">
        <f t="shared" si="11"/>
        <v>1</v>
      </c>
    </row>
    <row r="255" spans="1:9">
      <c r="A255" s="5" t="s">
        <v>2135</v>
      </c>
      <c r="B255" s="6" t="s">
        <v>2322</v>
      </c>
      <c r="C255" s="5" t="s">
        <v>289</v>
      </c>
      <c r="D255" t="s">
        <v>2321</v>
      </c>
      <c r="E255" t="s">
        <v>2322</v>
      </c>
      <c r="F255" t="s">
        <v>289</v>
      </c>
      <c r="G255" t="str">
        <f t="shared" si="9"/>
        <v>Defaix Frères Rully 'Rabource' Premier Cru2023</v>
      </c>
      <c r="H255" t="str">
        <f t="shared" si="10"/>
        <v>Defaix Frères Rully 'Rabource' Premier Cru2023</v>
      </c>
      <c r="I255">
        <f t="shared" si="11"/>
        <v>1</v>
      </c>
    </row>
    <row r="256" spans="1:9">
      <c r="A256" s="5" t="s">
        <v>2136</v>
      </c>
      <c r="B256" s="6" t="s">
        <v>2324</v>
      </c>
      <c r="C256" s="5" t="s">
        <v>81</v>
      </c>
      <c r="D256" t="s">
        <v>2323</v>
      </c>
      <c r="E256" t="s">
        <v>2324</v>
      </c>
      <c r="F256" t="s">
        <v>81</v>
      </c>
      <c r="G256" t="str">
        <f t="shared" si="9"/>
        <v>Bad Girl Crémant de Bordeaux Blanc Brut2019</v>
      </c>
      <c r="H256" t="str">
        <f t="shared" si="10"/>
        <v>Bad Girl Crémant de Bordeaux Blanc Brut2019</v>
      </c>
      <c r="I256">
        <f t="shared" si="11"/>
        <v>1</v>
      </c>
    </row>
    <row r="257" spans="1:9">
      <c r="A257" s="5" t="s">
        <v>2138</v>
      </c>
      <c r="B257" s="6" t="s">
        <v>2326</v>
      </c>
      <c r="C257" s="5" t="s">
        <v>289</v>
      </c>
      <c r="D257" t="s">
        <v>2325</v>
      </c>
      <c r="E257" t="s">
        <v>2326</v>
      </c>
      <c r="F257" t="s">
        <v>289</v>
      </c>
      <c r="G257" t="str">
        <f t="shared" si="9"/>
        <v>Defaix Frères Chablis 'Vieille Vigne'2023</v>
      </c>
      <c r="H257" t="str">
        <f t="shared" si="10"/>
        <v>Defaix Frères Chablis 'Vieille Vigne'2023</v>
      </c>
      <c r="I257">
        <f t="shared" si="11"/>
        <v>1</v>
      </c>
    </row>
    <row r="258" spans="1:9">
      <c r="A258" s="5" t="s">
        <v>2139</v>
      </c>
      <c r="B258" s="6" t="s">
        <v>2328</v>
      </c>
      <c r="C258" s="5" t="s">
        <v>289</v>
      </c>
      <c r="D258" t="s">
        <v>2327</v>
      </c>
      <c r="E258" t="s">
        <v>2328</v>
      </c>
      <c r="F258" t="s">
        <v>289</v>
      </c>
      <c r="G258" t="str">
        <f t="shared" ref="G258:G310" si="12">B258&amp;C258</f>
        <v>Domaine Virginie Thunevin Blanc2023</v>
      </c>
      <c r="H258" t="str">
        <f t="shared" ref="H258:H310" si="13">E258&amp;F258</f>
        <v>Domaine Virginie Thunevin Blanc2023</v>
      </c>
      <c r="I258">
        <f t="shared" ref="I258:I310" si="14">IF(G258=H258,1,0)</f>
        <v>1</v>
      </c>
    </row>
    <row r="259" spans="1:9">
      <c r="A259" s="5" t="s">
        <v>2140</v>
      </c>
      <c r="B259" s="6" t="s">
        <v>2330</v>
      </c>
      <c r="C259" s="5" t="s">
        <v>172</v>
      </c>
      <c r="D259" t="s">
        <v>2329</v>
      </c>
      <c r="E259" t="s">
        <v>2330</v>
      </c>
      <c r="F259" t="s">
        <v>172</v>
      </c>
      <c r="G259" t="str">
        <f t="shared" si="12"/>
        <v>Domaine Daniel-Etienne Defaix Chablis 'Côte de Léchet' Premier Cru2012</v>
      </c>
      <c r="H259" t="str">
        <f t="shared" si="13"/>
        <v>Domaine Daniel-Etienne Defaix Chablis 'Côte de Léchet' Premier Cru2012</v>
      </c>
      <c r="I259">
        <f t="shared" si="14"/>
        <v>1</v>
      </c>
    </row>
    <row r="260" spans="1:9">
      <c r="A260" s="5" t="s">
        <v>2142</v>
      </c>
      <c r="B260" s="6" t="s">
        <v>2332</v>
      </c>
      <c r="C260" s="5" t="s">
        <v>30</v>
      </c>
      <c r="D260" t="s">
        <v>2331</v>
      </c>
      <c r="E260" t="s">
        <v>2332</v>
      </c>
      <c r="F260" t="s">
        <v>30</v>
      </c>
      <c r="G260" t="str">
        <f t="shared" si="12"/>
        <v>Domaine Daniel-Etienne Defaix Chablis Vieilles Vignes2022</v>
      </c>
      <c r="H260" t="str">
        <f t="shared" si="13"/>
        <v>Domaine Daniel-Etienne Defaix Chablis Vieilles Vignes2022</v>
      </c>
      <c r="I260">
        <f t="shared" si="14"/>
        <v>1</v>
      </c>
    </row>
    <row r="261" spans="1:9">
      <c r="A261" s="5" t="s">
        <v>2143</v>
      </c>
      <c r="B261" s="6" t="s">
        <v>2334</v>
      </c>
      <c r="C261" s="5" t="s">
        <v>289</v>
      </c>
      <c r="D261" t="s">
        <v>2333</v>
      </c>
      <c r="E261" t="s">
        <v>2334</v>
      </c>
      <c r="F261" t="s">
        <v>289</v>
      </c>
      <c r="G261" t="str">
        <f t="shared" si="12"/>
        <v>Thunevin-Calvet 'Cuvee Constance' Blanc2023</v>
      </c>
      <c r="H261" t="str">
        <f t="shared" si="13"/>
        <v>Thunevin-Calvet 'Cuvee Constance' Blanc2023</v>
      </c>
      <c r="I261">
        <f t="shared" si="14"/>
        <v>1</v>
      </c>
    </row>
    <row r="262" spans="1:9">
      <c r="A262" s="5" t="s">
        <v>2145</v>
      </c>
      <c r="B262" s="6" t="s">
        <v>2336</v>
      </c>
      <c r="C262" s="5" t="s">
        <v>289</v>
      </c>
      <c r="D262" t="s">
        <v>2335</v>
      </c>
      <c r="E262" t="s">
        <v>2336</v>
      </c>
      <c r="F262" t="s">
        <v>289</v>
      </c>
      <c r="G262" t="str">
        <f t="shared" si="12"/>
        <v>Defaix Frères Chablis 'Les Lys' Premier Cru2023</v>
      </c>
      <c r="H262" t="str">
        <f t="shared" si="13"/>
        <v>Defaix Frères Chablis 'Les Lys' Premier Cru2023</v>
      </c>
      <c r="I262">
        <f t="shared" si="14"/>
        <v>1</v>
      </c>
    </row>
    <row r="263" spans="1:9">
      <c r="A263" s="5" t="s">
        <v>2147</v>
      </c>
      <c r="B263" s="6" t="s">
        <v>2338</v>
      </c>
      <c r="C263" s="5" t="s">
        <v>289</v>
      </c>
      <c r="D263" t="s">
        <v>2337</v>
      </c>
      <c r="E263" t="s">
        <v>2338</v>
      </c>
      <c r="F263" t="s">
        <v>289</v>
      </c>
      <c r="G263" t="str">
        <f t="shared" si="12"/>
        <v>Defaix Frères Chablis Montée de Tonnerre Premier Cru 2023</v>
      </c>
      <c r="H263" t="str">
        <f t="shared" si="13"/>
        <v>Defaix Frères Chablis Montée de Tonnerre Premier Cru 2023</v>
      </c>
      <c r="I263">
        <f t="shared" si="14"/>
        <v>1</v>
      </c>
    </row>
    <row r="264" spans="1:9">
      <c r="A264" s="5" t="s">
        <v>2149</v>
      </c>
      <c r="B264" s="6" t="s">
        <v>2340</v>
      </c>
      <c r="C264" s="5" t="s">
        <v>289</v>
      </c>
      <c r="D264" t="s">
        <v>2339</v>
      </c>
      <c r="E264" t="s">
        <v>2340</v>
      </c>
      <c r="F264" t="s">
        <v>289</v>
      </c>
      <c r="G264" t="str">
        <f t="shared" si="12"/>
        <v>Defaix Frères Chablis 'Côte de Léchet' Vieilles Vignes Premier Cru 2023</v>
      </c>
      <c r="H264" t="str">
        <f t="shared" si="13"/>
        <v>Defaix Frères Chablis 'Côte de Léchet' Vieilles Vignes Premier Cru 2023</v>
      </c>
      <c r="I264">
        <f t="shared" si="14"/>
        <v>1</v>
      </c>
    </row>
    <row r="265" spans="1:9">
      <c r="A265" s="5" t="s">
        <v>2151</v>
      </c>
      <c r="B265" s="6" t="s">
        <v>2342</v>
      </c>
      <c r="C265" s="5" t="s">
        <v>289</v>
      </c>
      <c r="D265" t="s">
        <v>2341</v>
      </c>
      <c r="E265" t="s">
        <v>2342</v>
      </c>
      <c r="F265" t="s">
        <v>289</v>
      </c>
      <c r="G265" t="str">
        <f t="shared" si="12"/>
        <v>Agricola Gianpiero Marrone 'Solaris' Moscato d'Asti DOCG2023</v>
      </c>
      <c r="H265" t="str">
        <f t="shared" si="13"/>
        <v>Agricola Gianpiero Marrone 'Solaris' Moscato d'Asti DOCG2023</v>
      </c>
      <c r="I265">
        <f t="shared" si="14"/>
        <v>1</v>
      </c>
    </row>
    <row r="266" spans="1:9">
      <c r="A266" s="5" t="s">
        <v>2153</v>
      </c>
      <c r="B266" s="6" t="s">
        <v>2320</v>
      </c>
      <c r="C266" s="5" t="s">
        <v>111</v>
      </c>
      <c r="D266" t="s">
        <v>2343</v>
      </c>
      <c r="E266" t="s">
        <v>2320</v>
      </c>
      <c r="F266" t="s">
        <v>111</v>
      </c>
      <c r="G266" t="str">
        <f t="shared" si="12"/>
        <v>Domaine Daniel-Etienne Defaix Chablis 'Les Lys' Premier Cru2013</v>
      </c>
      <c r="H266" t="str">
        <f t="shared" si="13"/>
        <v>Domaine Daniel-Etienne Defaix Chablis 'Les Lys' Premier Cru2013</v>
      </c>
      <c r="I266">
        <f t="shared" si="14"/>
        <v>1</v>
      </c>
    </row>
    <row r="267" spans="1:9">
      <c r="A267" s="5" t="s">
        <v>2155</v>
      </c>
      <c r="B267" s="6" t="s">
        <v>2345</v>
      </c>
      <c r="C267" s="5" t="s">
        <v>289</v>
      </c>
      <c r="D267" t="s">
        <v>2344</v>
      </c>
      <c r="E267" t="s">
        <v>2345</v>
      </c>
      <c r="F267" t="s">
        <v>289</v>
      </c>
      <c r="G267" t="str">
        <f t="shared" si="12"/>
        <v>Defaix Frères Chablis 'Bougros' Grand Cru2023</v>
      </c>
      <c r="H267" t="str">
        <f t="shared" si="13"/>
        <v>Defaix Frères Chablis 'Bougros' Grand Cru2023</v>
      </c>
      <c r="I267">
        <f t="shared" si="14"/>
        <v>1</v>
      </c>
    </row>
    <row r="268" spans="1:9">
      <c r="A268" s="5" t="s">
        <v>2157</v>
      </c>
      <c r="B268" s="6" t="s">
        <v>2347</v>
      </c>
      <c r="C268" s="5" t="s">
        <v>92</v>
      </c>
      <c r="D268" t="s">
        <v>2346</v>
      </c>
      <c r="E268" t="s">
        <v>2347</v>
      </c>
      <c r="F268" t="s">
        <v>92</v>
      </c>
      <c r="G268" t="str">
        <f t="shared" si="12"/>
        <v>Diane by Jacques Lurton Sémillon2020</v>
      </c>
      <c r="H268" t="str">
        <f t="shared" si="13"/>
        <v>Diane by Jacques Lurton Sémillon2020</v>
      </c>
      <c r="I268">
        <f t="shared" si="14"/>
        <v>1</v>
      </c>
    </row>
    <row r="269" spans="1:9">
      <c r="A269" s="5" t="s">
        <v>2159</v>
      </c>
      <c r="B269" s="6" t="s">
        <v>2349</v>
      </c>
      <c r="C269" s="5" t="s">
        <v>92</v>
      </c>
      <c r="D269" t="s">
        <v>2348</v>
      </c>
      <c r="E269" t="s">
        <v>2349</v>
      </c>
      <c r="F269" t="s">
        <v>92</v>
      </c>
      <c r="G269" t="str">
        <f t="shared" si="12"/>
        <v>Etienne Sauzet Puligny-Montrachet 'Les Combettes' Premier Cru2020</v>
      </c>
      <c r="H269" t="str">
        <f t="shared" si="13"/>
        <v>Etienne Sauzet Puligny-Montrachet 'Les Combettes' Premier Cru2020</v>
      </c>
      <c r="I269">
        <f t="shared" si="14"/>
        <v>1</v>
      </c>
    </row>
    <row r="270" spans="1:9">
      <c r="A270" s="5" t="s">
        <v>2161</v>
      </c>
      <c r="B270" s="6" t="s">
        <v>2351</v>
      </c>
      <c r="C270" s="5" t="s">
        <v>289</v>
      </c>
      <c r="D270" t="s">
        <v>2350</v>
      </c>
      <c r="E270" t="s">
        <v>2351</v>
      </c>
      <c r="F270" t="s">
        <v>289</v>
      </c>
      <c r="G270" t="str">
        <f t="shared" si="12"/>
        <v>Defaix Frères Chablis 'Les Clos' Grand Cru 2023</v>
      </c>
      <c r="H270" t="str">
        <f t="shared" si="13"/>
        <v>Defaix Frères Chablis 'Les Clos' Grand Cru 2023</v>
      </c>
      <c r="I270">
        <f t="shared" si="14"/>
        <v>1</v>
      </c>
    </row>
    <row r="271" spans="1:9">
      <c r="A271" s="5" t="s">
        <v>2163</v>
      </c>
      <c r="B271" s="6" t="s">
        <v>2353</v>
      </c>
      <c r="C271" s="5" t="s">
        <v>30</v>
      </c>
      <c r="D271" t="s">
        <v>2352</v>
      </c>
      <c r="E271" t="s">
        <v>2353</v>
      </c>
      <c r="F271" t="s">
        <v>30</v>
      </c>
      <c r="G271" t="str">
        <f t="shared" si="12"/>
        <v>Domaine Jean-Marc Pillot Bourgogne 'Le Haut des Champs' Blanc2022</v>
      </c>
      <c r="H271" t="str">
        <f t="shared" si="13"/>
        <v>Domaine Jean-Marc Pillot Bourgogne 'Le Haut des Champs' Blanc2022</v>
      </c>
      <c r="I271">
        <f t="shared" si="14"/>
        <v>1</v>
      </c>
    </row>
    <row r="272" spans="1:9">
      <c r="A272" s="5" t="s">
        <v>2165</v>
      </c>
      <c r="B272" s="6" t="s">
        <v>2355</v>
      </c>
      <c r="C272" s="5" t="s">
        <v>30</v>
      </c>
      <c r="D272" t="s">
        <v>2354</v>
      </c>
      <c r="E272" t="s">
        <v>2355</v>
      </c>
      <c r="F272" t="s">
        <v>30</v>
      </c>
      <c r="G272" t="str">
        <f t="shared" si="12"/>
        <v>Domaine Jean-Marc Pillot Chassagne-Montrachet 'Les Macherelles' Premier Cru2022</v>
      </c>
      <c r="H272" t="str">
        <f t="shared" si="13"/>
        <v>Domaine Jean-Marc Pillot Chassagne-Montrachet 'Les Macherelles' Premier Cru2022</v>
      </c>
      <c r="I272">
        <f t="shared" si="14"/>
        <v>1</v>
      </c>
    </row>
    <row r="273" spans="1:9">
      <c r="A273" s="5" t="s">
        <v>2167</v>
      </c>
      <c r="B273" s="6" t="s">
        <v>2357</v>
      </c>
      <c r="C273" s="5" t="s">
        <v>30</v>
      </c>
      <c r="D273" t="s">
        <v>2356</v>
      </c>
      <c r="E273" t="s">
        <v>2357</v>
      </c>
      <c r="F273" t="s">
        <v>30</v>
      </c>
      <c r="G273" t="str">
        <f t="shared" si="12"/>
        <v>Xavier Vignon Châteauneuf-du-Pape 'Cuvee Anonyme' Blanc2022</v>
      </c>
      <c r="H273" t="str">
        <f t="shared" si="13"/>
        <v>Xavier Vignon Châteauneuf-du-Pape 'Cuvee Anonyme' Blanc2022</v>
      </c>
      <c r="I273">
        <f t="shared" si="14"/>
        <v>1</v>
      </c>
    </row>
    <row r="274" spans="1:9">
      <c r="A274" s="5" t="s">
        <v>2169</v>
      </c>
      <c r="B274" s="6" t="s">
        <v>2359</v>
      </c>
      <c r="C274" s="5" t="s">
        <v>125</v>
      </c>
      <c r="D274" t="s">
        <v>2358</v>
      </c>
      <c r="E274" t="s">
        <v>2359</v>
      </c>
      <c r="F274" t="s">
        <v>125</v>
      </c>
      <c r="G274" t="str">
        <f t="shared" si="12"/>
        <v>Château Pape Clément Blanc2008</v>
      </c>
      <c r="H274" t="str">
        <f t="shared" si="13"/>
        <v>Château Pape Clément Blanc2008</v>
      </c>
      <c r="I274">
        <f t="shared" si="14"/>
        <v>1</v>
      </c>
    </row>
    <row r="275" spans="1:9">
      <c r="A275" s="5" t="s">
        <v>2171</v>
      </c>
      <c r="B275" s="6" t="s">
        <v>2361</v>
      </c>
      <c r="C275" s="5" t="s">
        <v>289</v>
      </c>
      <c r="D275" t="s">
        <v>2360</v>
      </c>
      <c r="E275" t="s">
        <v>2361</v>
      </c>
      <c r="F275" t="s">
        <v>289</v>
      </c>
      <c r="G275" t="str">
        <f t="shared" si="12"/>
        <v>Château Valandraud Blanc 'Blanc de Valandraud No. 1'2023</v>
      </c>
      <c r="H275" t="str">
        <f t="shared" si="13"/>
        <v>Château Valandraud Blanc 'Blanc de Valandraud No. 1'2023</v>
      </c>
      <c r="I275">
        <f t="shared" si="14"/>
        <v>1</v>
      </c>
    </row>
    <row r="276" spans="1:9">
      <c r="A276" s="5" t="s">
        <v>2173</v>
      </c>
      <c r="B276" s="6" t="s">
        <v>2363</v>
      </c>
      <c r="C276" s="5" t="s">
        <v>30</v>
      </c>
      <c r="D276" t="s">
        <v>2362</v>
      </c>
      <c r="E276" t="s">
        <v>2363</v>
      </c>
      <c r="F276" t="s">
        <v>30</v>
      </c>
      <c r="G276" t="str">
        <f t="shared" si="12"/>
        <v>Domaine Buisson-Charles Meursault 'Les Tessons'2022</v>
      </c>
      <c r="H276" t="str">
        <f t="shared" si="13"/>
        <v>Domaine Buisson-Charles Meursault 'Les Tessons'2022</v>
      </c>
      <c r="I276">
        <f t="shared" si="14"/>
        <v>1</v>
      </c>
    </row>
    <row r="277" spans="1:9">
      <c r="A277" s="5" t="s">
        <v>2175</v>
      </c>
      <c r="B277" s="6" t="s">
        <v>2365</v>
      </c>
      <c r="C277" s="5" t="s">
        <v>111</v>
      </c>
      <c r="D277" t="s">
        <v>2364</v>
      </c>
      <c r="E277" t="s">
        <v>2365</v>
      </c>
      <c r="F277" t="s">
        <v>111</v>
      </c>
      <c r="G277" t="str">
        <f t="shared" si="12"/>
        <v>Domaine de Chevalier Blanc2013</v>
      </c>
      <c r="H277" t="str">
        <f t="shared" si="13"/>
        <v>Domaine de Chevalier Blanc2013</v>
      </c>
      <c r="I277">
        <f t="shared" si="14"/>
        <v>1</v>
      </c>
    </row>
    <row r="278" spans="1:9">
      <c r="A278" s="5" t="s">
        <v>2177</v>
      </c>
      <c r="B278" s="6" t="s">
        <v>2367</v>
      </c>
      <c r="C278" s="5" t="s">
        <v>30</v>
      </c>
      <c r="D278" t="s">
        <v>2366</v>
      </c>
      <c r="E278" t="s">
        <v>2367</v>
      </c>
      <c r="F278" t="s">
        <v>30</v>
      </c>
      <c r="G278" t="str">
        <f t="shared" si="12"/>
        <v>Domaine Jean-Marc Pillot Chassagne-Montrachet 'Les Champs Gains' Premier Cru2022</v>
      </c>
      <c r="H278" t="str">
        <f t="shared" si="13"/>
        <v>Domaine Jean-Marc Pillot Chassagne-Montrachet 'Les Champs Gains' Premier Cru2022</v>
      </c>
      <c r="I278">
        <f t="shared" si="14"/>
        <v>1</v>
      </c>
    </row>
    <row r="279" spans="1:9">
      <c r="A279" s="5" t="s">
        <v>2179</v>
      </c>
      <c r="B279" s="6" t="s">
        <v>2369</v>
      </c>
      <c r="C279" s="5" t="s">
        <v>289</v>
      </c>
      <c r="D279" t="s">
        <v>2368</v>
      </c>
      <c r="E279" t="s">
        <v>2369</v>
      </c>
      <c r="F279" t="s">
        <v>289</v>
      </c>
      <c r="G279" t="str">
        <f t="shared" si="12"/>
        <v>Te Pa Sauvignon Blanc2023</v>
      </c>
      <c r="H279" t="str">
        <f t="shared" si="13"/>
        <v>Te Pa Sauvignon Blanc2023</v>
      </c>
      <c r="I279">
        <f t="shared" si="14"/>
        <v>1</v>
      </c>
    </row>
    <row r="280" spans="1:9">
      <c r="A280" s="5" t="s">
        <v>2181</v>
      </c>
      <c r="B280" s="6" t="s">
        <v>2371</v>
      </c>
      <c r="C280" s="5" t="s">
        <v>30</v>
      </c>
      <c r="D280" t="s">
        <v>2370</v>
      </c>
      <c r="E280" t="s">
        <v>2371</v>
      </c>
      <c r="F280" t="s">
        <v>30</v>
      </c>
      <c r="G280" t="str">
        <f t="shared" si="12"/>
        <v>AJ Vaona Puligny-Montrachet2022</v>
      </c>
      <c r="H280" t="str">
        <f t="shared" si="13"/>
        <v>AJ Vaona Puligny-Montrachet2022</v>
      </c>
      <c r="I280">
        <f t="shared" si="14"/>
        <v>1</v>
      </c>
    </row>
    <row r="281" spans="1:9">
      <c r="A281" s="5" t="s">
        <v>2183</v>
      </c>
      <c r="B281" s="6" t="s">
        <v>2373</v>
      </c>
      <c r="C281" s="5" t="s">
        <v>111</v>
      </c>
      <c r="D281" t="s">
        <v>2372</v>
      </c>
      <c r="E281" t="s">
        <v>2373</v>
      </c>
      <c r="F281" t="s">
        <v>111</v>
      </c>
      <c r="G281" t="str">
        <f t="shared" si="12"/>
        <v>Château Cos d'Estournel Blanc2013</v>
      </c>
      <c r="H281" t="str">
        <f t="shared" si="13"/>
        <v>Château Cos d'Estournel Blanc2013</v>
      </c>
      <c r="I281">
        <f t="shared" si="14"/>
        <v>1</v>
      </c>
    </row>
    <row r="282" spans="1:9">
      <c r="A282" s="5" t="s">
        <v>2185</v>
      </c>
      <c r="B282" s="6" t="s">
        <v>2345</v>
      </c>
      <c r="C282" s="5" t="s">
        <v>30</v>
      </c>
      <c r="D282" t="s">
        <v>2374</v>
      </c>
      <c r="E282" t="s">
        <v>2345</v>
      </c>
      <c r="F282" t="s">
        <v>30</v>
      </c>
      <c r="G282" t="str">
        <f t="shared" si="12"/>
        <v>Defaix Frères Chablis 'Bougros' Grand Cru2022</v>
      </c>
      <c r="H282" t="str">
        <f t="shared" si="13"/>
        <v>Defaix Frères Chablis 'Bougros' Grand Cru2022</v>
      </c>
      <c r="I282">
        <f t="shared" si="14"/>
        <v>1</v>
      </c>
    </row>
    <row r="283" spans="1:9">
      <c r="A283" s="5" t="s">
        <v>2187</v>
      </c>
      <c r="B283" s="6" t="s">
        <v>2376</v>
      </c>
      <c r="C283" s="5" t="s">
        <v>144</v>
      </c>
      <c r="D283" t="s">
        <v>2375</v>
      </c>
      <c r="E283" t="s">
        <v>2376</v>
      </c>
      <c r="F283" t="s">
        <v>144</v>
      </c>
      <c r="G283" t="str">
        <f t="shared" si="12"/>
        <v>Domaine de la Fontainerie Vouvray 'Coteau les Brûlés' SecNV</v>
      </c>
      <c r="H283" t="str">
        <f t="shared" si="13"/>
        <v>Domaine de la Fontainerie Vouvray 'Coteau les Brûlés' SecNV</v>
      </c>
      <c r="I283">
        <f t="shared" si="14"/>
        <v>1</v>
      </c>
    </row>
    <row r="284" spans="1:9">
      <c r="A284" s="5" t="s">
        <v>2188</v>
      </c>
      <c r="B284" s="6" t="s">
        <v>2378</v>
      </c>
      <c r="C284" s="5" t="s">
        <v>92</v>
      </c>
      <c r="D284" t="s">
        <v>2377</v>
      </c>
      <c r="E284" t="s">
        <v>2378</v>
      </c>
      <c r="F284" t="s">
        <v>92</v>
      </c>
      <c r="G284" t="str">
        <f t="shared" si="12"/>
        <v>Domaine Francois Gaunoux Meursault 'Goutte d'Or' Premier Cru2020</v>
      </c>
      <c r="H284" t="str">
        <f t="shared" si="13"/>
        <v>Domaine Francois Gaunoux Meursault 'Goutte d'Or' Premier Cru2020</v>
      </c>
      <c r="I284">
        <f t="shared" si="14"/>
        <v>1</v>
      </c>
    </row>
    <row r="285" spans="1:9">
      <c r="A285" s="5" t="s">
        <v>2190</v>
      </c>
      <c r="B285" s="6" t="s">
        <v>2318</v>
      </c>
      <c r="C285" s="5" t="s">
        <v>92</v>
      </c>
      <c r="D285" t="s">
        <v>2379</v>
      </c>
      <c r="E285" t="s">
        <v>2318</v>
      </c>
      <c r="F285" t="s">
        <v>92</v>
      </c>
      <c r="G285" t="str">
        <f t="shared" si="12"/>
        <v>Château Lafont-Fourcat Blanc2020</v>
      </c>
      <c r="H285" t="str">
        <f t="shared" si="13"/>
        <v>Château Lafont-Fourcat Blanc2020</v>
      </c>
      <c r="I285">
        <f t="shared" si="14"/>
        <v>1</v>
      </c>
    </row>
    <row r="286" spans="1:9">
      <c r="A286" s="5" t="s">
        <v>2192</v>
      </c>
      <c r="B286" s="6" t="s">
        <v>2381</v>
      </c>
      <c r="C286" s="5" t="s">
        <v>30</v>
      </c>
      <c r="D286" t="s">
        <v>2380</v>
      </c>
      <c r="E286" t="s">
        <v>2381</v>
      </c>
      <c r="F286" t="s">
        <v>30</v>
      </c>
      <c r="G286" t="str">
        <f t="shared" si="12"/>
        <v>Domaine Jean-Marc Pillot Chassagne-Montrachet 'Les Chenevottes' Premier Cru2022</v>
      </c>
      <c r="H286" t="str">
        <f t="shared" si="13"/>
        <v>Domaine Jean-Marc Pillot Chassagne-Montrachet 'Les Chenevottes' Premier Cru2022</v>
      </c>
      <c r="I286">
        <f t="shared" si="14"/>
        <v>1</v>
      </c>
    </row>
    <row r="287" spans="1:9">
      <c r="A287" s="5" t="s">
        <v>2193</v>
      </c>
      <c r="B287" s="6" t="s">
        <v>2383</v>
      </c>
      <c r="C287" s="5" t="s">
        <v>289</v>
      </c>
      <c r="D287" t="s">
        <v>2382</v>
      </c>
      <c r="E287" t="s">
        <v>2383</v>
      </c>
      <c r="F287" t="s">
        <v>289</v>
      </c>
      <c r="G287" t="str">
        <f t="shared" si="12"/>
        <v>Xavier Vignon Cotes du Rhone Blanc2023</v>
      </c>
      <c r="H287" t="str">
        <f t="shared" si="13"/>
        <v>Xavier Vignon Cotes du Rhone Blanc2023</v>
      </c>
      <c r="I287">
        <f t="shared" si="14"/>
        <v>1</v>
      </c>
    </row>
    <row r="288" spans="1:9">
      <c r="A288" s="5" t="s">
        <v>2195</v>
      </c>
      <c r="B288" s="6" t="s">
        <v>2385</v>
      </c>
      <c r="C288" s="5" t="s">
        <v>30</v>
      </c>
      <c r="D288" t="s">
        <v>2384</v>
      </c>
      <c r="E288" t="s">
        <v>2385</v>
      </c>
      <c r="F288" t="s">
        <v>30</v>
      </c>
      <c r="G288" t="str">
        <f t="shared" si="12"/>
        <v>Domaine Michel Viré-Clessé 'Quintaine'2022</v>
      </c>
      <c r="H288" t="str">
        <f t="shared" si="13"/>
        <v>Domaine Michel Viré-Clessé 'Quintaine'2022</v>
      </c>
      <c r="I288">
        <f t="shared" si="14"/>
        <v>1</v>
      </c>
    </row>
    <row r="289" spans="1:9">
      <c r="A289" s="5" t="s">
        <v>2197</v>
      </c>
      <c r="B289" s="6" t="s">
        <v>2387</v>
      </c>
      <c r="C289" s="5" t="s">
        <v>30</v>
      </c>
      <c r="D289" t="s">
        <v>2386</v>
      </c>
      <c r="E289" t="s">
        <v>2387</v>
      </c>
      <c r="F289" t="s">
        <v>30</v>
      </c>
      <c r="G289" t="str">
        <f t="shared" si="12"/>
        <v>Weingut Robert Weil 'Kiedricher Klosterberg' Riesling Trocken2022</v>
      </c>
      <c r="H289" t="str">
        <f t="shared" si="13"/>
        <v>Weingut Robert Weil 'Kiedricher Klosterberg' Riesling Trocken2022</v>
      </c>
      <c r="I289">
        <f t="shared" si="14"/>
        <v>1</v>
      </c>
    </row>
    <row r="290" spans="1:9">
      <c r="A290" s="5" t="s">
        <v>2199</v>
      </c>
      <c r="B290" s="6" t="s">
        <v>2359</v>
      </c>
      <c r="C290" s="5" t="s">
        <v>123</v>
      </c>
      <c r="D290" t="s">
        <v>2388</v>
      </c>
      <c r="E290" t="s">
        <v>2359</v>
      </c>
      <c r="F290" t="s">
        <v>123</v>
      </c>
      <c r="G290" t="str">
        <f t="shared" si="12"/>
        <v>Château Pape Clément Blanc2006</v>
      </c>
      <c r="H290" t="str">
        <f t="shared" si="13"/>
        <v>Château Pape Clément Blanc2006</v>
      </c>
      <c r="I290">
        <f t="shared" si="14"/>
        <v>1</v>
      </c>
    </row>
    <row r="291" spans="1:9">
      <c r="A291" s="5" t="s">
        <v>2201</v>
      </c>
      <c r="B291" s="6" t="s">
        <v>2390</v>
      </c>
      <c r="C291" s="5" t="s">
        <v>111</v>
      </c>
      <c r="D291" t="s">
        <v>2389</v>
      </c>
      <c r="E291" t="s">
        <v>2390</v>
      </c>
      <c r="F291" t="s">
        <v>111</v>
      </c>
      <c r="G291" t="str">
        <f t="shared" si="12"/>
        <v>Domaine Daniel-Etienne Defaix Chablis 'Les Grenouilles' Grand Cru2013</v>
      </c>
      <c r="H291" t="str">
        <f t="shared" si="13"/>
        <v>Domaine Daniel-Etienne Defaix Chablis 'Les Grenouilles' Grand Cru2013</v>
      </c>
      <c r="I291">
        <f t="shared" si="14"/>
        <v>1</v>
      </c>
    </row>
    <row r="292" spans="1:9">
      <c r="A292" s="5" t="s">
        <v>2203</v>
      </c>
      <c r="B292" s="6" t="s">
        <v>2392</v>
      </c>
      <c r="C292" s="5" t="s">
        <v>144</v>
      </c>
      <c r="D292" t="s">
        <v>2391</v>
      </c>
      <c r="E292" t="s">
        <v>2392</v>
      </c>
      <c r="F292" t="s">
        <v>144</v>
      </c>
      <c r="G292" t="str">
        <f t="shared" si="12"/>
        <v>Domaine de la Fontainerie Vouvray 'Coteau les Brûlés' Demi-SecNV</v>
      </c>
      <c r="H292" t="str">
        <f t="shared" si="13"/>
        <v>Domaine de la Fontainerie Vouvray 'Coteau les Brûlés' Demi-SecNV</v>
      </c>
      <c r="I292">
        <f t="shared" si="14"/>
        <v>1</v>
      </c>
    </row>
    <row r="293" spans="1:9">
      <c r="A293" s="5" t="s">
        <v>2205</v>
      </c>
      <c r="B293" s="6" t="s">
        <v>2394</v>
      </c>
      <c r="C293" s="5" t="s">
        <v>92</v>
      </c>
      <c r="D293" t="s">
        <v>2393</v>
      </c>
      <c r="E293" t="s">
        <v>2394</v>
      </c>
      <c r="F293" t="s">
        <v>92</v>
      </c>
      <c r="G293" t="str">
        <f t="shared" si="12"/>
        <v>Domaine Francois Mikulski Meursault 'Les Charmes' Premier Cru2020</v>
      </c>
      <c r="H293" t="str">
        <f t="shared" si="13"/>
        <v>Domaine Francois Mikulski Meursault 'Les Charmes' Premier Cru2020</v>
      </c>
      <c r="I293">
        <f t="shared" si="14"/>
        <v>1</v>
      </c>
    </row>
    <row r="294" spans="1:9">
      <c r="A294" s="5" t="s">
        <v>2207</v>
      </c>
      <c r="B294" s="6" t="s">
        <v>2396</v>
      </c>
      <c r="C294" s="5" t="s">
        <v>30</v>
      </c>
      <c r="D294" t="s">
        <v>2395</v>
      </c>
      <c r="E294" t="s">
        <v>2396</v>
      </c>
      <c r="F294" t="s">
        <v>30</v>
      </c>
      <c r="G294" t="str">
        <f t="shared" si="12"/>
        <v>Domaine Francois Mikulski Meursault 'Les Poruzots' Premier Cru2022</v>
      </c>
      <c r="H294" t="str">
        <f t="shared" si="13"/>
        <v>Domaine Francois Mikulski Meursault 'Les Poruzots' Premier Cru2022</v>
      </c>
      <c r="I294">
        <f t="shared" si="14"/>
        <v>1</v>
      </c>
    </row>
    <row r="295" spans="1:9">
      <c r="A295" s="5" t="s">
        <v>2209</v>
      </c>
      <c r="B295" s="6" t="s">
        <v>2398</v>
      </c>
      <c r="C295" s="5" t="s">
        <v>289</v>
      </c>
      <c r="D295" t="s">
        <v>2397</v>
      </c>
      <c r="E295" t="s">
        <v>2398</v>
      </c>
      <c r="F295" t="s">
        <v>289</v>
      </c>
      <c r="G295" t="str">
        <f t="shared" si="12"/>
        <v>Agricola Gianpiero Marrone 'Tre Fie' Langhe Arneis DOC2023</v>
      </c>
      <c r="H295" t="str">
        <f t="shared" si="13"/>
        <v>Agricola Gianpiero Marrone 'Tre Fie' Langhe Arneis DOC2023</v>
      </c>
      <c r="I295">
        <f t="shared" si="14"/>
        <v>1</v>
      </c>
    </row>
    <row r="296" spans="1:9">
      <c r="A296" s="5" t="s">
        <v>2211</v>
      </c>
      <c r="B296" s="6" t="s">
        <v>2400</v>
      </c>
      <c r="C296" s="5" t="s">
        <v>30</v>
      </c>
      <c r="D296" t="s">
        <v>2399</v>
      </c>
      <c r="E296" t="s">
        <v>2400</v>
      </c>
      <c r="F296" t="s">
        <v>30</v>
      </c>
      <c r="G296" t="str">
        <f t="shared" si="12"/>
        <v>Penfolds Koonunga Hill 'Autumn' Riesling2022</v>
      </c>
      <c r="H296" t="str">
        <f t="shared" si="13"/>
        <v>Penfolds Koonunga Hill 'Autumn' Riesling2022</v>
      </c>
      <c r="I296">
        <f t="shared" si="14"/>
        <v>1</v>
      </c>
    </row>
    <row r="297" spans="1:9">
      <c r="A297" s="5" t="s">
        <v>2213</v>
      </c>
      <c r="B297" s="6" t="s">
        <v>2334</v>
      </c>
      <c r="C297" s="5" t="s">
        <v>30</v>
      </c>
      <c r="D297" t="s">
        <v>2401</v>
      </c>
      <c r="E297" t="s">
        <v>2334</v>
      </c>
      <c r="F297" t="s">
        <v>30</v>
      </c>
      <c r="G297" t="str">
        <f t="shared" si="12"/>
        <v>Thunevin-Calvet 'Cuvee Constance' Blanc2022</v>
      </c>
      <c r="H297" t="str">
        <f t="shared" si="13"/>
        <v>Thunevin-Calvet 'Cuvee Constance' Blanc2022</v>
      </c>
      <c r="I297">
        <f t="shared" si="14"/>
        <v>1</v>
      </c>
    </row>
    <row r="298" spans="1:9">
      <c r="A298" s="5" t="s">
        <v>2215</v>
      </c>
      <c r="B298" s="6" t="s">
        <v>2403</v>
      </c>
      <c r="C298" s="5" t="s">
        <v>30</v>
      </c>
      <c r="D298" t="s">
        <v>2402</v>
      </c>
      <c r="E298" t="s">
        <v>2403</v>
      </c>
      <c r="F298" t="s">
        <v>30</v>
      </c>
      <c r="G298" t="str">
        <f t="shared" si="12"/>
        <v>Cour de la Roche Touraine Sauvignon Blanc2022</v>
      </c>
      <c r="H298" t="str">
        <f t="shared" si="13"/>
        <v>Cour de la Roche Touraine Sauvignon Blanc2022</v>
      </c>
      <c r="I298">
        <f t="shared" si="14"/>
        <v>1</v>
      </c>
    </row>
    <row r="299" spans="1:9">
      <c r="A299" s="5" t="s">
        <v>2217</v>
      </c>
      <c r="B299" s="6" t="s">
        <v>2312</v>
      </c>
      <c r="C299" s="5" t="s">
        <v>239</v>
      </c>
      <c r="D299" t="s">
        <v>2404</v>
      </c>
      <c r="E299" t="s">
        <v>2312</v>
      </c>
      <c r="F299" t="s">
        <v>239</v>
      </c>
      <c r="G299" t="str">
        <f t="shared" si="12"/>
        <v>Domaine Daniel-Etienne Defaix Chablis 'Vaillon' Premier Cru2011</v>
      </c>
      <c r="H299" t="str">
        <f t="shared" si="13"/>
        <v>Domaine Daniel-Etienne Defaix Chablis 'Vaillon' Premier Cru2011</v>
      </c>
      <c r="I299">
        <f t="shared" si="14"/>
        <v>1</v>
      </c>
    </row>
    <row r="300" spans="1:9">
      <c r="A300" s="5" t="s">
        <v>2219</v>
      </c>
      <c r="B300" s="6" t="s">
        <v>2406</v>
      </c>
      <c r="C300" s="5" t="s">
        <v>81</v>
      </c>
      <c r="D300" t="s">
        <v>2405</v>
      </c>
      <c r="E300" t="s">
        <v>2406</v>
      </c>
      <c r="F300" t="s">
        <v>81</v>
      </c>
      <c r="G300" t="str">
        <f t="shared" si="12"/>
        <v>M. Chapoutier Domaine de Bila-Haut Côtes du Roussillon Villages 'Occultum Lapidem' Blanc2019</v>
      </c>
      <c r="H300" t="str">
        <f t="shared" si="13"/>
        <v>M. Chapoutier Domaine de Bila-Haut Côtes du Roussillon Villages 'Occultum Lapidem' Blanc2019</v>
      </c>
      <c r="I300">
        <f t="shared" si="14"/>
        <v>1</v>
      </c>
    </row>
    <row r="301" spans="1:9">
      <c r="A301" s="5" t="s">
        <v>2221</v>
      </c>
      <c r="B301" s="6" t="s">
        <v>2378</v>
      </c>
      <c r="C301" s="5" t="s">
        <v>81</v>
      </c>
      <c r="D301" t="s">
        <v>2407</v>
      </c>
      <c r="E301" t="s">
        <v>2378</v>
      </c>
      <c r="F301" t="s">
        <v>81</v>
      </c>
      <c r="G301" t="str">
        <f t="shared" si="12"/>
        <v>Domaine Francois Gaunoux Meursault 'Goutte d'Or' Premier Cru2019</v>
      </c>
      <c r="H301" t="str">
        <f t="shared" si="13"/>
        <v>Domaine Francois Gaunoux Meursault 'Goutte d'Or' Premier Cru2019</v>
      </c>
      <c r="I301">
        <f t="shared" si="14"/>
        <v>1</v>
      </c>
    </row>
    <row r="302" spans="1:9">
      <c r="A302" s="5" t="s">
        <v>2223</v>
      </c>
      <c r="B302" s="6" t="s">
        <v>2409</v>
      </c>
      <c r="C302" s="5" t="s">
        <v>92</v>
      </c>
      <c r="D302" t="s">
        <v>2408</v>
      </c>
      <c r="E302" t="s">
        <v>2409</v>
      </c>
      <c r="F302" t="s">
        <v>92</v>
      </c>
      <c r="G302" t="str">
        <f t="shared" si="12"/>
        <v>Domaine Francois Gaunoux Meursault 'Le Clos de Tavaux' Monopole2020</v>
      </c>
      <c r="H302" t="str">
        <f t="shared" si="13"/>
        <v>Domaine Francois Gaunoux Meursault 'Le Clos de Tavaux' Monopole2020</v>
      </c>
      <c r="I302">
        <f t="shared" si="14"/>
        <v>1</v>
      </c>
    </row>
    <row r="303" spans="1:9">
      <c r="A303" s="5" t="s">
        <v>2224</v>
      </c>
      <c r="B303" s="6" t="s">
        <v>2411</v>
      </c>
      <c r="C303" s="5" t="s">
        <v>81</v>
      </c>
      <c r="D303" t="s">
        <v>2410</v>
      </c>
      <c r="E303" t="s">
        <v>2411</v>
      </c>
      <c r="F303" t="s">
        <v>81</v>
      </c>
      <c r="G303" t="str">
        <f t="shared" si="12"/>
        <v>Josmeyer Pinot Gris 'Le Fromenteau'2019</v>
      </c>
      <c r="H303" t="str">
        <f t="shared" si="13"/>
        <v>Josmeyer Pinot Gris 'Le Fromenteau'2019</v>
      </c>
      <c r="I303">
        <f t="shared" si="14"/>
        <v>1</v>
      </c>
    </row>
    <row r="304" spans="1:9">
      <c r="A304" s="5" t="s">
        <v>2226</v>
      </c>
      <c r="B304" s="6" t="s">
        <v>2413</v>
      </c>
      <c r="C304" s="5" t="s">
        <v>118</v>
      </c>
      <c r="D304" t="s">
        <v>2412</v>
      </c>
      <c r="E304" t="s">
        <v>2413</v>
      </c>
      <c r="F304" t="s">
        <v>118</v>
      </c>
      <c r="G304" t="str">
        <f t="shared" si="12"/>
        <v>Pierre Girardin Puligny-Montrachet 'Les Folatières' Premier Cru2018</v>
      </c>
      <c r="H304" t="str">
        <f t="shared" si="13"/>
        <v>Pierre Girardin Puligny-Montrachet 'Les Folatières' Premier Cru2018</v>
      </c>
      <c r="I304">
        <f t="shared" si="14"/>
        <v>1</v>
      </c>
    </row>
    <row r="305" spans="1:9">
      <c r="A305" s="5" t="s">
        <v>2228</v>
      </c>
      <c r="B305" s="6" t="s">
        <v>2415</v>
      </c>
      <c r="C305" s="5" t="s">
        <v>2416</v>
      </c>
      <c r="D305" t="s">
        <v>2414</v>
      </c>
      <c r="E305" t="s">
        <v>2415</v>
      </c>
      <c r="F305" t="s">
        <v>2416</v>
      </c>
      <c r="G305" t="str">
        <f t="shared" si="12"/>
        <v>F.E. Trimbach Pinot Gris 'Réserve Personnelle'1996</v>
      </c>
      <c r="H305" t="str">
        <f t="shared" si="13"/>
        <v>F.E. Trimbach Pinot Gris 'Réserve Personnelle'1996</v>
      </c>
      <c r="I305">
        <f t="shared" si="14"/>
        <v>1</v>
      </c>
    </row>
    <row r="306" spans="1:9">
      <c r="A306" s="5" t="s">
        <v>2230</v>
      </c>
      <c r="B306" s="6" t="s">
        <v>2418</v>
      </c>
      <c r="C306" s="5" t="s">
        <v>239</v>
      </c>
      <c r="D306" t="s">
        <v>2417</v>
      </c>
      <c r="E306" t="s">
        <v>2418</v>
      </c>
      <c r="F306" t="s">
        <v>239</v>
      </c>
      <c r="G306" t="str">
        <f t="shared" si="12"/>
        <v>F.E. Trimbach Riesling 'Clos Sainte Hune'2011</v>
      </c>
      <c r="H306" t="str">
        <f t="shared" si="13"/>
        <v>F.E. Trimbach Riesling 'Clos Sainte Hune'2011</v>
      </c>
      <c r="I306">
        <f t="shared" si="14"/>
        <v>1</v>
      </c>
    </row>
    <row r="307" spans="1:9">
      <c r="A307" s="5" t="s">
        <v>2232</v>
      </c>
      <c r="B307" s="6" t="s">
        <v>2420</v>
      </c>
      <c r="C307" s="5" t="s">
        <v>30</v>
      </c>
      <c r="D307" t="s">
        <v>2419</v>
      </c>
      <c r="E307" t="s">
        <v>2420</v>
      </c>
      <c r="F307" t="s">
        <v>30</v>
      </c>
      <c r="G307" t="str">
        <f t="shared" si="12"/>
        <v>Weingut Robert Weil Riesling Trocken2022</v>
      </c>
      <c r="H307" t="str">
        <f t="shared" si="13"/>
        <v>Weingut Robert Weil Riesling Trocken2022</v>
      </c>
      <c r="I307">
        <f t="shared" si="14"/>
        <v>1</v>
      </c>
    </row>
    <row r="308" spans="1:9">
      <c r="A308" s="5" t="s">
        <v>2234</v>
      </c>
      <c r="B308" s="6" t="s">
        <v>2310</v>
      </c>
      <c r="C308" s="5" t="s">
        <v>289</v>
      </c>
      <c r="D308" t="s">
        <v>2421</v>
      </c>
      <c r="E308" t="s">
        <v>2310</v>
      </c>
      <c r="F308" t="s">
        <v>289</v>
      </c>
      <c r="G308" t="str">
        <f t="shared" si="12"/>
        <v>Bruno Giacosa Roero Arneis DOCG2023</v>
      </c>
      <c r="H308" t="str">
        <f t="shared" si="13"/>
        <v>Bruno Giacosa Roero Arneis DOCG2023</v>
      </c>
      <c r="I308">
        <f t="shared" si="14"/>
        <v>1</v>
      </c>
    </row>
    <row r="309" spans="1:9">
      <c r="A309" s="5" t="s">
        <v>2236</v>
      </c>
      <c r="B309" s="6" t="s">
        <v>2423</v>
      </c>
      <c r="C309" s="5" t="s">
        <v>30</v>
      </c>
      <c r="D309" t="s">
        <v>2422</v>
      </c>
      <c r="E309" t="s">
        <v>2423</v>
      </c>
      <c r="F309" t="s">
        <v>30</v>
      </c>
      <c r="G309" t="str">
        <f t="shared" si="12"/>
        <v>Defaix Frères Chablis Vieilles Vignes2022</v>
      </c>
      <c r="H309" t="str">
        <f t="shared" si="13"/>
        <v>Defaix Frères Chablis Vieilles Vignes2022</v>
      </c>
      <c r="I309">
        <f t="shared" si="14"/>
        <v>1</v>
      </c>
    </row>
    <row r="310" spans="1:9">
      <c r="A310" s="5" t="s">
        <v>2237</v>
      </c>
      <c r="B310" s="6" t="s">
        <v>2425</v>
      </c>
      <c r="C310" s="5" t="s">
        <v>118</v>
      </c>
      <c r="D310" t="s">
        <v>2424</v>
      </c>
      <c r="E310" t="s">
        <v>2425</v>
      </c>
      <c r="F310" t="s">
        <v>118</v>
      </c>
      <c r="G310" t="str">
        <f t="shared" si="12"/>
        <v>Château Mont-Perat Blanc2018</v>
      </c>
      <c r="H310" t="str">
        <f t="shared" si="13"/>
        <v>Château Mont-Perat Blanc2018</v>
      </c>
      <c r="I310">
        <f t="shared" si="14"/>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工作表1</vt:lpstr>
      <vt:lpstr>工作表2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Tianqi Huang</cp:lastModifiedBy>
  <dcterms:created xsi:type="dcterms:W3CDTF">2025-10-17T03:53:29Z</dcterms:created>
  <dcterms:modified xsi:type="dcterms:W3CDTF">2025-11-08T15:53:27Z</dcterms:modified>
</cp:coreProperties>
</file>